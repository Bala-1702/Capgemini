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webextensions/webextension1.xml" ContentType="application/vnd.ms-office.webextension+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202300"/>
  <mc:AlternateContent xmlns:mc="http://schemas.openxmlformats.org/markup-compatibility/2006">
    <mc:Choice Requires="x15">
      <x15ac:absPath xmlns:x15ac="http://schemas.microsoft.com/office/spreadsheetml/2010/11/ac" url="https://capgemini-my.sharepoint.com/personal/bala-santhosh_p-b_capgemini_com/Documents/Desktop/Study Materials/"/>
    </mc:Choice>
  </mc:AlternateContent>
  <xr:revisionPtr revIDLastSave="327" documentId="8_{DF5C1687-8F8F-4E3F-9AA1-C799048E39A4}" xr6:coauthVersionLast="47" xr6:coauthVersionMax="47" xr10:uidLastSave="{ADF993ED-8E8A-4FC4-AE7A-739AD1BE9E2C}"/>
  <bookViews>
    <workbookView xWindow="-110" yWindow="-110" windowWidth="19420" windowHeight="10300" xr2:uid="{31A3F70D-1ACB-474A-8E15-52BBDCDA915A}"/>
  </bookViews>
  <sheets>
    <sheet name="Sheet1" sheetId="1" r:id="rId1"/>
    <sheet name="Sheet2" sheetId="2" r:id="rId2"/>
    <sheet name="Table 3" sheetId="7" r:id="rId3"/>
    <sheet name="Sheet6" sheetId="8" r:id="rId4"/>
    <sheet name="Sheet3" sheetId="3" r:id="rId5"/>
    <sheet name="Sheet4" sheetId="9" r:id="rId6"/>
  </sheets>
  <definedNames>
    <definedName name="ExternalData_1" localSheetId="2" hidden="1">'Table 3'!$A$1:$M$83</definedName>
    <definedName name="_xlnm.Print_Area" localSheetId="0">Sheet1!$1:$30</definedName>
    <definedName name="_xlnm.Print_Area" localSheetId="2">'Table 3'!$A$1:$F$83</definedName>
    <definedName name="_xlnm.Print_Titles" localSheetId="0">Sheet1!$1:$1</definedName>
    <definedName name="_xlnm.Print_Titles" localSheetId="1">Sheet2!$C$26</definedName>
    <definedName name="_xlnm.Print_Titles" localSheetId="2">'Table 3'!$1:$1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7" l="1" a="1"/>
  <c r="P3" i="7" s="1"/>
  <c r="J32" i="1"/>
  <c r="L2" i="9"/>
  <c r="K2" i="9"/>
  <c r="J2" i="9"/>
  <c r="I2" i="9"/>
  <c r="H2" i="9"/>
  <c r="L3" i="9"/>
  <c r="K3" i="9"/>
  <c r="J3" i="9"/>
  <c r="I3" i="9"/>
  <c r="H3" i="9"/>
  <c r="L4" i="9"/>
  <c r="K4" i="9"/>
  <c r="J4" i="9"/>
  <c r="I4" i="9"/>
  <c r="H4" i="9"/>
  <c r="L6" i="9"/>
  <c r="K6" i="9"/>
  <c r="J6" i="9"/>
  <c r="I6" i="9"/>
  <c r="H6" i="9"/>
  <c r="L7" i="9"/>
  <c r="K7" i="9"/>
  <c r="J7" i="9"/>
  <c r="I7" i="9"/>
  <c r="H7" i="9"/>
  <c r="L8" i="9"/>
  <c r="K8" i="9"/>
  <c r="J8" i="9"/>
  <c r="I8" i="9"/>
  <c r="H8" i="9"/>
  <c r="L10" i="9"/>
  <c r="K10" i="9"/>
  <c r="J10" i="9"/>
  <c r="I10" i="9"/>
  <c r="I13" i="9" s="1"/>
  <c r="H10" i="9"/>
  <c r="H13" i="9" s="1"/>
  <c r="L11" i="9"/>
  <c r="K11" i="9"/>
  <c r="J11" i="9"/>
  <c r="I11" i="9"/>
  <c r="H11" i="9"/>
  <c r="L12" i="9"/>
  <c r="K12" i="9"/>
  <c r="J12" i="9"/>
  <c r="I12" i="9"/>
  <c r="H12" i="9"/>
  <c r="L14" i="9"/>
  <c r="K14" i="9"/>
  <c r="J14" i="9"/>
  <c r="I14" i="9"/>
  <c r="H14" i="9"/>
  <c r="L15" i="9"/>
  <c r="K15" i="9"/>
  <c r="J15" i="9"/>
  <c r="I15" i="9"/>
  <c r="I17" i="9" s="1"/>
  <c r="H15" i="9"/>
  <c r="L16" i="9"/>
  <c r="K16" i="9"/>
  <c r="J16" i="9"/>
  <c r="I16" i="9"/>
  <c r="H16" i="9"/>
  <c r="L18" i="9"/>
  <c r="K18" i="9"/>
  <c r="J18" i="9"/>
  <c r="I18" i="9"/>
  <c r="H18" i="9"/>
  <c r="L19" i="9"/>
  <c r="K19" i="9"/>
  <c r="J19" i="9"/>
  <c r="I19" i="9"/>
  <c r="H19" i="9"/>
  <c r="L20" i="9"/>
  <c r="K20" i="9"/>
  <c r="J20" i="9"/>
  <c r="I20" i="9"/>
  <c r="H20" i="9"/>
  <c r="L22" i="9"/>
  <c r="K22" i="9"/>
  <c r="J22" i="9"/>
  <c r="I22" i="9"/>
  <c r="I25" i="9" s="1"/>
  <c r="H22" i="9"/>
  <c r="H25" i="9" s="1"/>
  <c r="L23" i="9"/>
  <c r="K23" i="9"/>
  <c r="J23" i="9"/>
  <c r="I23" i="9"/>
  <c r="H23" i="9"/>
  <c r="L24" i="9"/>
  <c r="K24" i="9"/>
  <c r="J24" i="9"/>
  <c r="I24" i="9"/>
  <c r="H24" i="9"/>
  <c r="F56" i="9"/>
  <c r="F9" i="9"/>
  <c r="F13" i="9"/>
  <c r="F17" i="9"/>
  <c r="F21" i="9"/>
  <c r="F25" i="9"/>
  <c r="F29" i="9"/>
  <c r="F33" i="9"/>
  <c r="F37" i="9"/>
  <c r="F41" i="9"/>
  <c r="F45" i="9"/>
  <c r="F49" i="9"/>
  <c r="F50" i="9"/>
  <c r="F51" i="9"/>
  <c r="F52" i="9"/>
  <c r="F53" i="9"/>
  <c r="F54" i="9"/>
  <c r="F55" i="9"/>
  <c r="F5" i="9"/>
  <c r="C17" i="2" a="1"/>
  <c r="C17" i="2"/>
  <c r="B17" i="2" a="1"/>
  <c r="B17" i="2" s="1"/>
  <c r="C16" i="2" a="1"/>
  <c r="C16" i="2" s="1"/>
  <c r="B16" i="2" a="1"/>
  <c r="B16" i="2"/>
  <c r="C15" i="2" a="1"/>
  <c r="C15" i="2" s="1"/>
  <c r="B15" i="2" a="1"/>
  <c r="B15" i="2" s="1"/>
  <c r="L25" i="9" l="1"/>
  <c r="L21" i="9"/>
  <c r="H5" i="9"/>
  <c r="L9" i="9"/>
  <c r="I5" i="9"/>
  <c r="H17" i="9"/>
  <c r="H21" i="9"/>
  <c r="L13" i="9"/>
  <c r="H9" i="9"/>
  <c r="K17" i="9"/>
  <c r="K21" i="9"/>
  <c r="K9" i="9"/>
  <c r="I21" i="9"/>
  <c r="J9" i="9"/>
  <c r="J5" i="9"/>
  <c r="K5" i="9"/>
  <c r="J21" i="9"/>
  <c r="J25" i="9"/>
  <c r="J13" i="9"/>
  <c r="J17" i="9"/>
  <c r="I9" i="9"/>
  <c r="L17" i="9"/>
  <c r="K25" i="9"/>
  <c r="K13" i="9"/>
  <c r="L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15C31E-3D4E-4E91-9C5F-F824C2AADCEF}" keepAlive="1" name="Query - Displayed Text" description="Connection to the 'Displayed Text' query in the workbook." type="5" refreshedVersion="0" background="1">
    <dbPr connection="Provider=Microsoft.Mashup.OleDb.1;Data Source=$Workbook$;Location=&quot;Displayed Text&quot;;Extended Properties=&quot;&quot;" command="SELECT * FROM [Displayed Text]"/>
  </connection>
  <connection id="2" xr16:uid="{F223EA25-9116-43DC-9656-243BF7734620}" keepAlive="1" name="Query - Table 3" description="Connection to the 'Table 3' query in the workbook." type="5" refreshedVersion="8" background="1" saveData="1">
    <dbPr connection="Provider=Microsoft.Mashup.OleDb.1;Data Source=$Workbook$;Location=&quot;Table 3&quot;;Extended Properties=&quot;&quot;" command="SELECT * FROM [Table 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9"/>
        </ext>
      </extLst>
    </bk>
    <bk>
      <extLst>
        <ext uri="{3e2802c4-a4d2-4d8b-9148-e3be6c30e623}">
          <xlrd:rvb i="20"/>
        </ext>
      </extLst>
    </bk>
    <bk>
      <extLst>
        <ext uri="{3e2802c4-a4d2-4d8b-9148-e3be6c30e623}">
          <xlrd:rvb i="23"/>
        </ext>
      </extLst>
    </bk>
    <bk>
      <extLst>
        <ext uri="{3e2802c4-a4d2-4d8b-9148-e3be6c30e623}">
          <xlrd:rvb i="56"/>
        </ext>
      </extLst>
    </bk>
    <bk>
      <extLst>
        <ext uri="{3e2802c4-a4d2-4d8b-9148-e3be6c30e623}">
          <xlrd:rvb i="106"/>
        </ext>
      </extLst>
    </bk>
    <bk>
      <extLst>
        <ext uri="{3e2802c4-a4d2-4d8b-9148-e3be6c30e623}">
          <xlrd:rvb i="140"/>
        </ext>
      </extLst>
    </bk>
  </futureMetadata>
  <cellMetadata count="1">
    <bk>
      <rc t="1" v="0"/>
    </bk>
  </cellMetadata>
  <valueMetadata count="9">
    <bk>
      <rc t="2" v="0"/>
    </bk>
    <bk>
      <rc t="2" v="1"/>
    </bk>
    <bk>
      <rc t="2" v="2"/>
    </bk>
    <bk>
      <rc t="2" v="3"/>
    </bk>
    <bk>
      <rc t="2" v="4"/>
    </bk>
    <bk>
      <rc t="2" v="5"/>
    </bk>
    <bk>
      <rc t="2" v="6"/>
    </bk>
    <bk>
      <rc t="2" v="7"/>
    </bk>
    <bk>
      <rc t="2" v="8"/>
    </bk>
  </valueMetadata>
</metadata>
</file>

<file path=xl/sharedStrings.xml><?xml version="1.0" encoding="utf-8"?>
<sst xmlns="http://schemas.openxmlformats.org/spreadsheetml/2006/main" count="1077" uniqueCount="794">
  <si>
    <t>Product1</t>
  </si>
  <si>
    <t>Product2</t>
  </si>
  <si>
    <t>Product3</t>
  </si>
  <si>
    <t>Product4</t>
  </si>
  <si>
    <t>Product5</t>
  </si>
  <si>
    <t>Bala Santhosh</t>
  </si>
  <si>
    <t>USE PROOFING TO ADD ABBREVIATIONS BS=Bala Santhosh</t>
  </si>
  <si>
    <t>Company</t>
  </si>
  <si>
    <t>Stocks</t>
  </si>
  <si>
    <t>TCS</t>
  </si>
  <si>
    <t>Capgemini</t>
  </si>
  <si>
    <t>Cognizant</t>
  </si>
  <si>
    <t>London</t>
  </si>
  <si>
    <t>India</t>
  </si>
  <si>
    <t>City[a]</t>
  </si>
  <si>
    <t>Country</t>
  </si>
  <si>
    <t>UN 2018 population estimates[b]</t>
  </si>
  <si>
    <t>City proper[c]</t>
  </si>
  <si>
    <t>City proper[c]_1</t>
  </si>
  <si>
    <t>City proper[c]_2</t>
  </si>
  <si>
    <t>City proper[c]_3</t>
  </si>
  <si>
    <t>Urban area[8]</t>
  </si>
  <si>
    <t>Urban area[8]_4</t>
  </si>
  <si>
    <t>Urban area[8]_5</t>
  </si>
  <si>
    <t>Metropolitan area[d]</t>
  </si>
  <si>
    <t>Metropolitan area[d]_6</t>
  </si>
  <si>
    <t>Metropolitan area[d]_7</t>
  </si>
  <si>
    <t>Definition</t>
  </si>
  <si>
    <t>Population</t>
  </si>
  <si>
    <t>Area(km2)</t>
  </si>
  <si>
    <t>Density(/km2)</t>
  </si>
  <si>
    <t>Tokyo</t>
  </si>
  <si>
    <t>Japan</t>
  </si>
  <si>
    <t>Metropolis prefecture</t>
  </si>
  <si>
    <t>13,515,271</t>
  </si>
  <si>
    <t>2,191</t>
  </si>
  <si>
    <t>6,169[13]</t>
  </si>
  <si>
    <t>37,732,000</t>
  </si>
  <si>
    <t>8,231</t>
  </si>
  <si>
    <t>4,584[e]</t>
  </si>
  <si>
    <t>37,274,000</t>
  </si>
  <si>
    <t>13,452</t>
  </si>
  <si>
    <t>2,771[14]</t>
  </si>
  <si>
    <t>Delhi</t>
  </si>
  <si>
    <t>Municipal corporation</t>
  </si>
  <si>
    <t>16,753,235</t>
  </si>
  <si>
    <t>1,484</t>
  </si>
  <si>
    <t>11,289[15]</t>
  </si>
  <si>
    <t>32,226,000</t>
  </si>
  <si>
    <t>2,344</t>
  </si>
  <si>
    <t>13,748[f]</t>
  </si>
  <si>
    <t>29,000,000</t>
  </si>
  <si>
    <t>3,483</t>
  </si>
  <si>
    <t>8,326[16]</t>
  </si>
  <si>
    <t>Shanghai</t>
  </si>
  <si>
    <t>China</t>
  </si>
  <si>
    <t>Municipality</t>
  </si>
  <si>
    <t>24,870,895</t>
  </si>
  <si>
    <t>6,341</t>
  </si>
  <si>
    <t>3,922[17][18]</t>
  </si>
  <si>
    <t>24,073,000</t>
  </si>
  <si>
    <t>4,333</t>
  </si>
  <si>
    <t>5,556[g]</t>
  </si>
  <si>
    <t>—</t>
  </si>
  <si>
    <t>São Paulo</t>
  </si>
  <si>
    <t>Brazil</t>
  </si>
  <si>
    <t>12,252,023</t>
  </si>
  <si>
    <t>1,521</t>
  </si>
  <si>
    <t>8,055[19]</t>
  </si>
  <si>
    <t>23,086,000</t>
  </si>
  <si>
    <t>3,649</t>
  </si>
  <si>
    <t>6,327[h]</t>
  </si>
  <si>
    <t>21,734,682</t>
  </si>
  <si>
    <t>7,947</t>
  </si>
  <si>
    <t>2,735[20]</t>
  </si>
  <si>
    <t>Mexico City</t>
  </si>
  <si>
    <t>Mexico</t>
  </si>
  <si>
    <t>City-state</t>
  </si>
  <si>
    <t>9,209,944</t>
  </si>
  <si>
    <t>1,485</t>
  </si>
  <si>
    <t>6,202[21]</t>
  </si>
  <si>
    <t>21,804,000</t>
  </si>
  <si>
    <t>2,530</t>
  </si>
  <si>
    <t>8,618</t>
  </si>
  <si>
    <t>21,804,515</t>
  </si>
  <si>
    <t>7,866</t>
  </si>
  <si>
    <t>2,772[22]</t>
  </si>
  <si>
    <t>Cairo</t>
  </si>
  <si>
    <t>Egypt</t>
  </si>
  <si>
    <t>Urban governorate</t>
  </si>
  <si>
    <t>10,044,894</t>
  </si>
  <si>
    <t>3,085</t>
  </si>
  <si>
    <t>3,256[23]</t>
  </si>
  <si>
    <t>20,296,000</t>
  </si>
  <si>
    <t>2,010</t>
  </si>
  <si>
    <t>10,098</t>
  </si>
  <si>
    <t>Mumbai</t>
  </si>
  <si>
    <t>12,478,447</t>
  </si>
  <si>
    <t>603</t>
  </si>
  <si>
    <t>20,694[24]</t>
  </si>
  <si>
    <t>24,973,000</t>
  </si>
  <si>
    <t>976</t>
  </si>
  <si>
    <t>25,587[i]</t>
  </si>
  <si>
    <t>23,598,000</t>
  </si>
  <si>
    <t>6,328</t>
  </si>
  <si>
    <t>3,729[25]</t>
  </si>
  <si>
    <t>Beijing</t>
  </si>
  <si>
    <t>21,893,095</t>
  </si>
  <si>
    <t>16,411</t>
  </si>
  <si>
    <t>1,334[17][18]</t>
  </si>
  <si>
    <t>18,522,000</t>
  </si>
  <si>
    <t>4,284</t>
  </si>
  <si>
    <t>4,324</t>
  </si>
  <si>
    <t>Dhaka</t>
  </si>
  <si>
    <t>Bangladesh</t>
  </si>
  <si>
    <t>Capital city</t>
  </si>
  <si>
    <t>10,295,407</t>
  </si>
  <si>
    <t>338</t>
  </si>
  <si>
    <t>30,460[26][27]</t>
  </si>
  <si>
    <t>18,627,000</t>
  </si>
  <si>
    <t>619</t>
  </si>
  <si>
    <t>30,092</t>
  </si>
  <si>
    <t>14,543,124[28]</t>
  </si>
  <si>
    <t>Osaka</t>
  </si>
  <si>
    <t>Designated city</t>
  </si>
  <si>
    <t>2,725,006</t>
  </si>
  <si>
    <t>225</t>
  </si>
  <si>
    <t>12,111[13]</t>
  </si>
  <si>
    <t>15,126,000</t>
  </si>
  <si>
    <t>3,020</t>
  </si>
  <si>
    <t>5,009[j]</t>
  </si>
  <si>
    <t>19,303,000</t>
  </si>
  <si>
    <t>13,228</t>
  </si>
  <si>
    <t>1,459[14]</t>
  </si>
  <si>
    <t>New York City</t>
  </si>
  <si>
    <t>United States</t>
  </si>
  <si>
    <t>City</t>
  </si>
  <si>
    <t>8,804,190</t>
  </si>
  <si>
    <t>778</t>
  </si>
  <si>
    <t>11,316[29]</t>
  </si>
  <si>
    <t>21,509,000</t>
  </si>
  <si>
    <t>12,093</t>
  </si>
  <si>
    <t>1,779[k]</t>
  </si>
  <si>
    <t>MSA: 19,557,311; CSA: 23,143,097 [30]</t>
  </si>
  <si>
    <t>1,665</t>
  </si>
  <si>
    <t>Tehran</t>
  </si>
  <si>
    <t>Iran</t>
  </si>
  <si>
    <t>9,033,003</t>
  </si>
  <si>
    <t>751</t>
  </si>
  <si>
    <t>12,028[31][32]</t>
  </si>
  <si>
    <t>14,148,000</t>
  </si>
  <si>
    <t>1,704</t>
  </si>
  <si>
    <t>8,303</t>
  </si>
  <si>
    <t>Karachi</t>
  </si>
  <si>
    <t>Pakistan</t>
  </si>
  <si>
    <t>Metropolitan city</t>
  </si>
  <si>
    <t>20,382,881</t>
  </si>
  <si>
    <t>3,530</t>
  </si>
  <si>
    <t>5,774[33][34]</t>
  </si>
  <si>
    <t>15,738,000</t>
  </si>
  <si>
    <t>1,124</t>
  </si>
  <si>
    <t>14,002</t>
  </si>
  <si>
    <t>20,382,000</t>
  </si>
  <si>
    <t>3,780</t>
  </si>
  <si>
    <t>5,392[35][36]</t>
  </si>
  <si>
    <t>Buenos Aires</t>
  </si>
  <si>
    <t>Argentina</t>
  </si>
  <si>
    <t>Autonomous city</t>
  </si>
  <si>
    <t>3,054,300</t>
  </si>
  <si>
    <t>203</t>
  </si>
  <si>
    <t>15,046[37]</t>
  </si>
  <si>
    <t>16,710,000</t>
  </si>
  <si>
    <t>3,437</t>
  </si>
  <si>
    <t>4,862</t>
  </si>
  <si>
    <t>12,806,866[38]</t>
  </si>
  <si>
    <t>Chongqing</t>
  </si>
  <si>
    <t>32,054,159</t>
  </si>
  <si>
    <t>82,403</t>
  </si>
  <si>
    <t>389[39][18]</t>
  </si>
  <si>
    <t>12,135,000</t>
  </si>
  <si>
    <t>1,580</t>
  </si>
  <si>
    <t>7,680</t>
  </si>
  <si>
    <t>Istanbul</t>
  </si>
  <si>
    <t>Turkey</t>
  </si>
  <si>
    <t>Metropolitan municipality</t>
  </si>
  <si>
    <t>15,519,267</t>
  </si>
  <si>
    <t>5,196</t>
  </si>
  <si>
    <t>2,987[40]</t>
  </si>
  <si>
    <t>14,441,000</t>
  </si>
  <si>
    <t>1,471</t>
  </si>
  <si>
    <t>9,817</t>
  </si>
  <si>
    <t>Kolkata</t>
  </si>
  <si>
    <t>4,496,694</t>
  </si>
  <si>
    <t>206</t>
  </si>
  <si>
    <t>21,829[41]</t>
  </si>
  <si>
    <t>21,747,000</t>
  </si>
  <si>
    <t>1,352</t>
  </si>
  <si>
    <t>16,085</t>
  </si>
  <si>
    <t>15,333,000</t>
  </si>
  <si>
    <t>1,887</t>
  </si>
  <si>
    <t>8,126[42]</t>
  </si>
  <si>
    <t>Manila</t>
  </si>
  <si>
    <t>Philippines</t>
  </si>
  <si>
    <t>1,780,148</t>
  </si>
  <si>
    <t>43</t>
  </si>
  <si>
    <t>41,399[43]</t>
  </si>
  <si>
    <t>24,922,000</t>
  </si>
  <si>
    <t>1,911</t>
  </si>
  <si>
    <t>13,041[l]</t>
  </si>
  <si>
    <t>12,877,253</t>
  </si>
  <si>
    <t>620</t>
  </si>
  <si>
    <t>20,770[43]</t>
  </si>
  <si>
    <t>Lagos</t>
  </si>
  <si>
    <t>Nigeria</t>
  </si>
  <si>
    <t>16,637,000</t>
  </si>
  <si>
    <t>1,966</t>
  </si>
  <si>
    <t>8,462</t>
  </si>
  <si>
    <t>21,000,000</t>
  </si>
  <si>
    <t>1,171</t>
  </si>
  <si>
    <t>17,933[44]</t>
  </si>
  <si>
    <t>Rio de Janeiro</t>
  </si>
  <si>
    <t>6,520,000</t>
  </si>
  <si>
    <t>1,221</t>
  </si>
  <si>
    <t>5,340[45]</t>
  </si>
  <si>
    <t>12,592,000</t>
  </si>
  <si>
    <t>2,020</t>
  </si>
  <si>
    <t>6,234</t>
  </si>
  <si>
    <t>12,644,321</t>
  </si>
  <si>
    <t>5,327</t>
  </si>
  <si>
    <t>2,374[46]</t>
  </si>
  <si>
    <t>Tianjin</t>
  </si>
  <si>
    <t>13,866,009</t>
  </si>
  <si>
    <t>11,920</t>
  </si>
  <si>
    <t>1,163[17][18]</t>
  </si>
  <si>
    <t>10,368,000</t>
  </si>
  <si>
    <t>2,813</t>
  </si>
  <si>
    <t>3,686</t>
  </si>
  <si>
    <t>Kinshasa</t>
  </si>
  <si>
    <t>DR Congo</t>
  </si>
  <si>
    <t>City-province</t>
  </si>
  <si>
    <t>17,071,000</t>
  </si>
  <si>
    <t>9,965</t>
  </si>
  <si>
    <t>1,713[47]</t>
  </si>
  <si>
    <t>12,836,000</t>
  </si>
  <si>
    <t>474</t>
  </si>
  <si>
    <t>27,080</t>
  </si>
  <si>
    <t>Guangzhou</t>
  </si>
  <si>
    <t>City (sub-provincial)</t>
  </si>
  <si>
    <t>18,676,605</t>
  </si>
  <si>
    <t>7,434</t>
  </si>
  <si>
    <t>2,512[17]</t>
  </si>
  <si>
    <t>26,940,000</t>
  </si>
  <si>
    <t>4,535</t>
  </si>
  <si>
    <t>5,940[m]</t>
  </si>
  <si>
    <t>Los Angeles</t>
  </si>
  <si>
    <t>3,990,456</t>
  </si>
  <si>
    <t>1,214</t>
  </si>
  <si>
    <t>3,287[29]</t>
  </si>
  <si>
    <t>15,204,000</t>
  </si>
  <si>
    <t>6,351</t>
  </si>
  <si>
    <t>2,394</t>
  </si>
  <si>
    <t>MSA: 13,291,486; CSA: 18,372,485[48]</t>
  </si>
  <si>
    <t>12,559</t>
  </si>
  <si>
    <t>1,058</t>
  </si>
  <si>
    <t>Moscow</t>
  </si>
  <si>
    <t>Russia</t>
  </si>
  <si>
    <t>Federal city</t>
  </si>
  <si>
    <t>13,200,000</t>
  </si>
  <si>
    <t>2,511</t>
  </si>
  <si>
    <t>5,257[49][50]</t>
  </si>
  <si>
    <t>17,332,000</t>
  </si>
  <si>
    <t>6,154</t>
  </si>
  <si>
    <t>2,816</t>
  </si>
  <si>
    <t>20,004,462[51]</t>
  </si>
  <si>
    <t>Shenzhen</t>
  </si>
  <si>
    <t>17,494,398</t>
  </si>
  <si>
    <t>2,050</t>
  </si>
  <si>
    <t>8,534[17]</t>
  </si>
  <si>
    <t>17,619,000</t>
  </si>
  <si>
    <t>1,803</t>
  </si>
  <si>
    <t>9,772</t>
  </si>
  <si>
    <t>Lahore</t>
  </si>
  <si>
    <t>13,004,135</t>
  </si>
  <si>
    <t>1,772</t>
  </si>
  <si>
    <t>7,339[52]</t>
  </si>
  <si>
    <t>12,306,000</t>
  </si>
  <si>
    <t>945</t>
  </si>
  <si>
    <t>13,022</t>
  </si>
  <si>
    <t>Bangalore</t>
  </si>
  <si>
    <t>8,443,675</t>
  </si>
  <si>
    <t>709</t>
  </si>
  <si>
    <t>11,909[53]</t>
  </si>
  <si>
    <t>15,386,000</t>
  </si>
  <si>
    <t>1,401</t>
  </si>
  <si>
    <t>10,982</t>
  </si>
  <si>
    <t>Paris</t>
  </si>
  <si>
    <t>France</t>
  </si>
  <si>
    <t>Commune</t>
  </si>
  <si>
    <t>2,148,271</t>
  </si>
  <si>
    <t>105</t>
  </si>
  <si>
    <t>20,460[54]</t>
  </si>
  <si>
    <t>11,060,000</t>
  </si>
  <si>
    <t>2,853</t>
  </si>
  <si>
    <t>3,877</t>
  </si>
  <si>
    <t>12,244,807</t>
  </si>
  <si>
    <t>18,941</t>
  </si>
  <si>
    <t>646</t>
  </si>
  <si>
    <t>Bogotá</t>
  </si>
  <si>
    <t>Colombia</t>
  </si>
  <si>
    <t>Capital District</t>
  </si>
  <si>
    <t>7,963,000</t>
  </si>
  <si>
    <t>1,587</t>
  </si>
  <si>
    <t>5,018[55]</t>
  </si>
  <si>
    <t>10,085,000</t>
  </si>
  <si>
    <t>562</t>
  </si>
  <si>
    <t>17,945</t>
  </si>
  <si>
    <t>12,545,272</t>
  </si>
  <si>
    <t>5,934</t>
  </si>
  <si>
    <t>2,114[56]</t>
  </si>
  <si>
    <t>Jakarta</t>
  </si>
  <si>
    <t>Indonesia</t>
  </si>
  <si>
    <t>Special region</t>
  </si>
  <si>
    <t>10,154,134</t>
  </si>
  <si>
    <t>664</t>
  </si>
  <si>
    <t>15,292[57]</t>
  </si>
  <si>
    <t>33,756,000</t>
  </si>
  <si>
    <t>3,546</t>
  </si>
  <si>
    <t>9,519[n]</t>
  </si>
  <si>
    <t>33,430,285</t>
  </si>
  <si>
    <t>7,063</t>
  </si>
  <si>
    <t>4,733[58]</t>
  </si>
  <si>
    <t>Chennai</t>
  </si>
  <si>
    <t>6,727,000</t>
  </si>
  <si>
    <t>426</t>
  </si>
  <si>
    <t>15,791[59][60]</t>
  </si>
  <si>
    <t>12,395,000</t>
  </si>
  <si>
    <t>1,085</t>
  </si>
  <si>
    <t>11,424</t>
  </si>
  <si>
    <t>11,564,000</t>
  </si>
  <si>
    <t>2,280</t>
  </si>
  <si>
    <t>5,072[61]</t>
  </si>
  <si>
    <t>Lima</t>
  </si>
  <si>
    <t>Peru</t>
  </si>
  <si>
    <t>8,894,000</t>
  </si>
  <si>
    <t>2,672</t>
  </si>
  <si>
    <t>3,329[62]</t>
  </si>
  <si>
    <t>10,320,000</t>
  </si>
  <si>
    <t>891</t>
  </si>
  <si>
    <t>11,582</t>
  </si>
  <si>
    <t>9,569,468</t>
  </si>
  <si>
    <t>2,819</t>
  </si>
  <si>
    <t>3,395[63]</t>
  </si>
  <si>
    <t>Bangkok</t>
  </si>
  <si>
    <t>Thailand</t>
  </si>
  <si>
    <t>Special administrative area</t>
  </si>
  <si>
    <t>8,305,218</t>
  </si>
  <si>
    <t>1,569</t>
  </si>
  <si>
    <t>5,293[64]</t>
  </si>
  <si>
    <t>18,007,000</t>
  </si>
  <si>
    <t>3,199</t>
  </si>
  <si>
    <t>5,629</t>
  </si>
  <si>
    <t>16,255,900</t>
  </si>
  <si>
    <t>7,762</t>
  </si>
  <si>
    <t>2,094[65]</t>
  </si>
  <si>
    <t>Seoul</t>
  </si>
  <si>
    <t>South Korea</t>
  </si>
  <si>
    <t>Special city</t>
  </si>
  <si>
    <t>10,013,781</t>
  </si>
  <si>
    <t>605</t>
  </si>
  <si>
    <t>16,552[66]</t>
  </si>
  <si>
    <t>23,016,000</t>
  </si>
  <si>
    <t>2,769</t>
  </si>
  <si>
    <t>8,312</t>
  </si>
  <si>
    <t>25,514,000</t>
  </si>
  <si>
    <t>11,704</t>
  </si>
  <si>
    <t>2,180[66]</t>
  </si>
  <si>
    <t>Nagoya</t>
  </si>
  <si>
    <t>2,320,361</t>
  </si>
  <si>
    <t>326</t>
  </si>
  <si>
    <t>7,118[13]</t>
  </si>
  <si>
    <t>9,197,000</t>
  </si>
  <si>
    <t>3,704</t>
  </si>
  <si>
    <t>2,483</t>
  </si>
  <si>
    <t>9,363,000</t>
  </si>
  <si>
    <t>7,271</t>
  </si>
  <si>
    <t>1,288[14]</t>
  </si>
  <si>
    <t>Hyderabad</t>
  </si>
  <si>
    <t>6,993,262</t>
  </si>
  <si>
    <t>650</t>
  </si>
  <si>
    <t>10,759[67][68]</t>
  </si>
  <si>
    <t>10,494,000</t>
  </si>
  <si>
    <t>1,404</t>
  </si>
  <si>
    <t>7,474</t>
  </si>
  <si>
    <t>United Kingdom</t>
  </si>
  <si>
    <t>8,825,001</t>
  </si>
  <si>
    <t>1,572</t>
  </si>
  <si>
    <t>5,614[69]</t>
  </si>
  <si>
    <t>11,262,000</t>
  </si>
  <si>
    <t>1,738</t>
  </si>
  <si>
    <t>6,480</t>
  </si>
  <si>
    <t>14,372,596[70]</t>
  </si>
  <si>
    <t>8,382</t>
  </si>
  <si>
    <t>1,715</t>
  </si>
  <si>
    <t>Chicago</t>
  </si>
  <si>
    <t>2,746,388</t>
  </si>
  <si>
    <t>589</t>
  </si>
  <si>
    <t>4,663[29]</t>
  </si>
  <si>
    <t>9,057,000</t>
  </si>
  <si>
    <t>7,006</t>
  </si>
  <si>
    <t>1,293</t>
  </si>
  <si>
    <t>MSA: 9,618,502; CSA: 9,806,184[71]</t>
  </si>
  <si>
    <t>18,640</t>
  </si>
  <si>
    <t>516</t>
  </si>
  <si>
    <t>Chengdu</t>
  </si>
  <si>
    <t>20,937,757</t>
  </si>
  <si>
    <t>14,378</t>
  </si>
  <si>
    <t>1,456[17]</t>
  </si>
  <si>
    <t>1,935</t>
  </si>
  <si>
    <t>10,821</t>
  </si>
  <si>
    <t>Nanjing</t>
  </si>
  <si>
    <t>9,314,685</t>
  </si>
  <si>
    <t>6,582</t>
  </si>
  <si>
    <t>1,415[17]</t>
  </si>
  <si>
    <t>8,422,000</t>
  </si>
  <si>
    <t>1,614</t>
  </si>
  <si>
    <t>5,218</t>
  </si>
  <si>
    <t>Wuhan</t>
  </si>
  <si>
    <t>12,447,718</t>
  </si>
  <si>
    <t>8,494</t>
  </si>
  <si>
    <t>1,465[17]</t>
  </si>
  <si>
    <t>1,722</t>
  </si>
  <si>
    <t>7,229</t>
  </si>
  <si>
    <t>Ho Chi Minh City</t>
  </si>
  <si>
    <t>Vietnam</t>
  </si>
  <si>
    <t>7,431,000</t>
  </si>
  <si>
    <t>2,061</t>
  </si>
  <si>
    <t>3,606[72]</t>
  </si>
  <si>
    <t>15,136,000</t>
  </si>
  <si>
    <t>2,165</t>
  </si>
  <si>
    <t>6,991</t>
  </si>
  <si>
    <t>Luanda</t>
  </si>
  <si>
    <t>Angola</t>
  </si>
  <si>
    <t>2,165,867</t>
  </si>
  <si>
    <t>116</t>
  </si>
  <si>
    <t>18,671[73]</t>
  </si>
  <si>
    <t>9,051,000</t>
  </si>
  <si>
    <t>1,005</t>
  </si>
  <si>
    <t>9,006</t>
  </si>
  <si>
    <t>Ahmedabad</t>
  </si>
  <si>
    <t>5,570,585</t>
  </si>
  <si>
    <t>464</t>
  </si>
  <si>
    <t>12,006[74]</t>
  </si>
  <si>
    <t>8,009,000</t>
  </si>
  <si>
    <t>404</t>
  </si>
  <si>
    <t>19,824</t>
  </si>
  <si>
    <t>6,300,000[75]</t>
  </si>
  <si>
    <t>Kuala Lumpur</t>
  </si>
  <si>
    <t>Malaysia</t>
  </si>
  <si>
    <t>1,768,000</t>
  </si>
  <si>
    <t>243</t>
  </si>
  <si>
    <t>7,276[76]</t>
  </si>
  <si>
    <t>8,911,000</t>
  </si>
  <si>
    <t>2,163</t>
  </si>
  <si>
    <t>4,120</t>
  </si>
  <si>
    <t>7,200,000</t>
  </si>
  <si>
    <t>2,793</t>
  </si>
  <si>
    <t>2,578[77]</t>
  </si>
  <si>
    <t>Xi'an</t>
  </si>
  <si>
    <t>12,183,280</t>
  </si>
  <si>
    <t>10,135</t>
  </si>
  <si>
    <t>1,202[17]</t>
  </si>
  <si>
    <t>12,328,000</t>
  </si>
  <si>
    <t>1,826</t>
  </si>
  <si>
    <t>6,751</t>
  </si>
  <si>
    <t>Hong Kong</t>
  </si>
  <si>
    <t>Special administrative region</t>
  </si>
  <si>
    <t>7,298,600</t>
  </si>
  <si>
    <t>1,104</t>
  </si>
  <si>
    <t>6,611[78][79]</t>
  </si>
  <si>
    <t>7,450,000</t>
  </si>
  <si>
    <t>290</t>
  </si>
  <si>
    <t>25,690</t>
  </si>
  <si>
    <t>Dongguan</t>
  </si>
  <si>
    <t>Prefecture-level city</t>
  </si>
  <si>
    <t>10,466,625</t>
  </si>
  <si>
    <t>2,465</t>
  </si>
  <si>
    <t>4,246[17]</t>
  </si>
  <si>
    <t>10,646,000</t>
  </si>
  <si>
    <t>1,759</t>
  </si>
  <si>
    <t>6,052</t>
  </si>
  <si>
    <t>Hangzhou</t>
  </si>
  <si>
    <t>11,936,010</t>
  </si>
  <si>
    <t>16,596</t>
  </si>
  <si>
    <t>719[17]</t>
  </si>
  <si>
    <t>9,523,000</t>
  </si>
  <si>
    <t>1,344</t>
  </si>
  <si>
    <t>7,086</t>
  </si>
  <si>
    <t>Foshan</t>
  </si>
  <si>
    <t>9,498,863</t>
  </si>
  <si>
    <t>3,848</t>
  </si>
  <si>
    <t>2,469[17]</t>
  </si>
  <si>
    <t>—[o]</t>
  </si>
  <si>
    <t>Shenyang</t>
  </si>
  <si>
    <t>8,294,000</t>
  </si>
  <si>
    <t>12,980</t>
  </si>
  <si>
    <t>639[17]</t>
  </si>
  <si>
    <t>7,964,000</t>
  </si>
  <si>
    <t>1,551</t>
  </si>
  <si>
    <t>5,135[p]</t>
  </si>
  <si>
    <t>Riyadh</t>
  </si>
  <si>
    <t>Saudi Arabia</t>
  </si>
  <si>
    <t>6,694,000</t>
  </si>
  <si>
    <t>1,913</t>
  </si>
  <si>
    <t>3,499[80]</t>
  </si>
  <si>
    <t>7,237,000</t>
  </si>
  <si>
    <t>1,673</t>
  </si>
  <si>
    <t>4,326</t>
  </si>
  <si>
    <t>Baghdad</t>
  </si>
  <si>
    <t>Iraq</t>
  </si>
  <si>
    <t>8,126,755</t>
  </si>
  <si>
    <t>5,200</t>
  </si>
  <si>
    <t>1,563[81]</t>
  </si>
  <si>
    <t>6,183,000</t>
  </si>
  <si>
    <t>694</t>
  </si>
  <si>
    <t>8,909</t>
  </si>
  <si>
    <t>Santiago</t>
  </si>
  <si>
    <t>Chile</t>
  </si>
  <si>
    <t>City (commune)</t>
  </si>
  <si>
    <t>236,453</t>
  </si>
  <si>
    <t>22</t>
  </si>
  <si>
    <t>10,748[82]</t>
  </si>
  <si>
    <t>7,171,000</t>
  </si>
  <si>
    <t>1,147</t>
  </si>
  <si>
    <t>6,252</t>
  </si>
  <si>
    <t>7,112,808</t>
  </si>
  <si>
    <t>15,403</t>
  </si>
  <si>
    <t>462[83]</t>
  </si>
  <si>
    <t>Surat</t>
  </si>
  <si>
    <t>4,466,826</t>
  </si>
  <si>
    <t>327</t>
  </si>
  <si>
    <t>13,660[84]</t>
  </si>
  <si>
    <t>6,538,000</t>
  </si>
  <si>
    <t>238</t>
  </si>
  <si>
    <t>27,471</t>
  </si>
  <si>
    <t>Madrid</t>
  </si>
  <si>
    <t>Spain</t>
  </si>
  <si>
    <t>3,266,126</t>
  </si>
  <si>
    <t>606</t>
  </si>
  <si>
    <t>5,390[85]</t>
  </si>
  <si>
    <t>6,211,000</t>
  </si>
  <si>
    <t>1,365</t>
  </si>
  <si>
    <t>4,550</t>
  </si>
  <si>
    <t>6,641,649</t>
  </si>
  <si>
    <t>Suzhou</t>
  </si>
  <si>
    <t>12,748,262</t>
  </si>
  <si>
    <t>8,488</t>
  </si>
  <si>
    <t>1,502[17]</t>
  </si>
  <si>
    <t>6,031,000</t>
  </si>
  <si>
    <t>1,386</t>
  </si>
  <si>
    <t>4,351</t>
  </si>
  <si>
    <t>Pune</t>
  </si>
  <si>
    <t>3,124,458</t>
  </si>
  <si>
    <t>276</t>
  </si>
  <si>
    <t>11,321[86]</t>
  </si>
  <si>
    <t>8,231,000</t>
  </si>
  <si>
    <t>12,663</t>
  </si>
  <si>
    <t>7,276,000</t>
  </si>
  <si>
    <t>7,256</t>
  </si>
  <si>
    <t>1,003[87]</t>
  </si>
  <si>
    <t>Harbin</t>
  </si>
  <si>
    <t>10,635,971</t>
  </si>
  <si>
    <t>53,068</t>
  </si>
  <si>
    <t>200[17]</t>
  </si>
  <si>
    <t>3,830,000</t>
  </si>
  <si>
    <t>671</t>
  </si>
  <si>
    <t>5,708</t>
  </si>
  <si>
    <t>Houston</t>
  </si>
  <si>
    <t>2,325,502</t>
  </si>
  <si>
    <t>1,553</t>
  </si>
  <si>
    <t>1,497[29]</t>
  </si>
  <si>
    <t>6,500,000</t>
  </si>
  <si>
    <t>4,931</t>
  </si>
  <si>
    <t>1,318</t>
  </si>
  <si>
    <t>6,997,384</t>
  </si>
  <si>
    <t>21,395</t>
  </si>
  <si>
    <t>327[88]</t>
  </si>
  <si>
    <t>Dallas</t>
  </si>
  <si>
    <t>1,345,047</t>
  </si>
  <si>
    <t>882</t>
  </si>
  <si>
    <t>1,525[29]</t>
  </si>
  <si>
    <t>6,950,000</t>
  </si>
  <si>
    <t>5,278</t>
  </si>
  <si>
    <t>1,317[q]</t>
  </si>
  <si>
    <t>7,470,158</t>
  </si>
  <si>
    <t>22,463</t>
  </si>
  <si>
    <t>333[89]</t>
  </si>
  <si>
    <t>Toronto</t>
  </si>
  <si>
    <t>Canada</t>
  </si>
  <si>
    <t>2,731,571</t>
  </si>
  <si>
    <t>630</t>
  </si>
  <si>
    <t>4,336[90][91]</t>
  </si>
  <si>
    <t>6,771,000</t>
  </si>
  <si>
    <t>2,889</t>
  </si>
  <si>
    <t>5,928,040</t>
  </si>
  <si>
    <t>5,906</t>
  </si>
  <si>
    <t>1,004[92]</t>
  </si>
  <si>
    <t>Dar es Salaam</t>
  </si>
  <si>
    <t>Tanzania</t>
  </si>
  <si>
    <t>5,383,728</t>
  </si>
  <si>
    <t>1,393</t>
  </si>
  <si>
    <t>3,865[93]</t>
  </si>
  <si>
    <t>7,962,000</t>
  </si>
  <si>
    <t>961</t>
  </si>
  <si>
    <t>8,285</t>
  </si>
  <si>
    <t>Miami</t>
  </si>
  <si>
    <t>470,914</t>
  </si>
  <si>
    <t>93</t>
  </si>
  <si>
    <t>5,069[29]</t>
  </si>
  <si>
    <t>6,058,000</t>
  </si>
  <si>
    <t>3,313</t>
  </si>
  <si>
    <t>1,829</t>
  </si>
  <si>
    <t>6,158,824</t>
  </si>
  <si>
    <t>15,890</t>
  </si>
  <si>
    <t>388</t>
  </si>
  <si>
    <t>Belo Horizonte</t>
  </si>
  <si>
    <t>2,502,557</t>
  </si>
  <si>
    <t>331</t>
  </si>
  <si>
    <t>7,563</t>
  </si>
  <si>
    <t>5,328,000</t>
  </si>
  <si>
    <t>1,287</t>
  </si>
  <si>
    <t>4,140</t>
  </si>
  <si>
    <t>5,156,217</t>
  </si>
  <si>
    <t>9,459</t>
  </si>
  <si>
    <t>545</t>
  </si>
  <si>
    <t>Singapore</t>
  </si>
  <si>
    <t>5,638,700</t>
  </si>
  <si>
    <t>726</t>
  </si>
  <si>
    <t>7,770</t>
  </si>
  <si>
    <t>5,983,000</t>
  </si>
  <si>
    <t>523</t>
  </si>
  <si>
    <t>11,440</t>
  </si>
  <si>
    <t>Philadelphia</t>
  </si>
  <si>
    <t>Consolidated city-county</t>
  </si>
  <si>
    <t>1,526,006</t>
  </si>
  <si>
    <t>370</t>
  </si>
  <si>
    <t>4,129</t>
  </si>
  <si>
    <t>5,799,000</t>
  </si>
  <si>
    <t>5,429</t>
  </si>
  <si>
    <t>1,068</t>
  </si>
  <si>
    <t>MSA: 6,096,120; CSA: 7,381,187</t>
  </si>
  <si>
    <t>Atlanta</t>
  </si>
  <si>
    <t>498,715</t>
  </si>
  <si>
    <t>354</t>
  </si>
  <si>
    <t>1,408</t>
  </si>
  <si>
    <t>5,478,000</t>
  </si>
  <si>
    <t>7,400</t>
  </si>
  <si>
    <t>740</t>
  </si>
  <si>
    <t>5,949,951</t>
  </si>
  <si>
    <t>21,690</t>
  </si>
  <si>
    <t>274</t>
  </si>
  <si>
    <t>Fukuoka</t>
  </si>
  <si>
    <t>1,588,924</t>
  </si>
  <si>
    <t>343</t>
  </si>
  <si>
    <t>4,627</t>
  </si>
  <si>
    <t>2,286,000</t>
  </si>
  <si>
    <t>505</t>
  </si>
  <si>
    <t>4,527</t>
  </si>
  <si>
    <t>Khartoum</t>
  </si>
  <si>
    <t>Sudan</t>
  </si>
  <si>
    <t>1,410,858[94]</t>
  </si>
  <si>
    <t>7,869,000</t>
  </si>
  <si>
    <t>1,031</t>
  </si>
  <si>
    <t>7,632</t>
  </si>
  <si>
    <t>Barcelona</t>
  </si>
  <si>
    <t>1,620,343</t>
  </si>
  <si>
    <t>101</t>
  </si>
  <si>
    <t>15,980[95]</t>
  </si>
  <si>
    <t>4,800,000</t>
  </si>
  <si>
    <t>1,072</t>
  </si>
  <si>
    <t>4,478</t>
  </si>
  <si>
    <t>5,474,482[96]</t>
  </si>
  <si>
    <t>Johannesburg</t>
  </si>
  <si>
    <t>South Africa</t>
  </si>
  <si>
    <t>4,803,262</t>
  </si>
  <si>
    <t>1,643</t>
  </si>
  <si>
    <t>2,924[97]</t>
  </si>
  <si>
    <t>14,586,000</t>
  </si>
  <si>
    <t>4,040</t>
  </si>
  <si>
    <t>3,610[r]</t>
  </si>
  <si>
    <t>Saint Petersburg</t>
  </si>
  <si>
    <t>5,601,911</t>
  </si>
  <si>
    <t>1,400</t>
  </si>
  <si>
    <t>4,001[98]</t>
  </si>
  <si>
    <t>5,445,000</t>
  </si>
  <si>
    <t>1,510</t>
  </si>
  <si>
    <t>3,606</t>
  </si>
  <si>
    <t>Qingdao</t>
  </si>
  <si>
    <t>10,071,722</t>
  </si>
  <si>
    <t>11,229</t>
  </si>
  <si>
    <t>897[99]</t>
  </si>
  <si>
    <t>6,229,000</t>
  </si>
  <si>
    <t>3,541</t>
  </si>
  <si>
    <t>Dalian</t>
  </si>
  <si>
    <t>7,450,785</t>
  </si>
  <si>
    <t>13,742</t>
  </si>
  <si>
    <t>542[100]</t>
  </si>
  <si>
    <t>4,135,000</t>
  </si>
  <si>
    <t>1,044</t>
  </si>
  <si>
    <t>3,961</t>
  </si>
  <si>
    <t>Washington</t>
  </si>
  <si>
    <t>Federal district</t>
  </si>
  <si>
    <t>702,455</t>
  </si>
  <si>
    <t>177</t>
  </si>
  <si>
    <t>3,969[29]</t>
  </si>
  <si>
    <t>7,631,000</t>
  </si>
  <si>
    <t>5,501</t>
  </si>
  <si>
    <t>1,387[s]</t>
  </si>
  <si>
    <t>6,263,245</t>
  </si>
  <si>
    <t>17,009</t>
  </si>
  <si>
    <t>368[101]</t>
  </si>
  <si>
    <t>Yangon</t>
  </si>
  <si>
    <t>Myanmar</t>
  </si>
  <si>
    <t>4,728,524[102]</t>
  </si>
  <si>
    <t>6,874,000</t>
  </si>
  <si>
    <t>666</t>
  </si>
  <si>
    <t>10,321</t>
  </si>
  <si>
    <t>Alexandria</t>
  </si>
  <si>
    <t>5,441,866</t>
  </si>
  <si>
    <t>2,300</t>
  </si>
  <si>
    <t>2,366[103]</t>
  </si>
  <si>
    <t>4,712,000</t>
  </si>
  <si>
    <t>293</t>
  </si>
  <si>
    <t>16,082</t>
  </si>
  <si>
    <t>Jinan</t>
  </si>
  <si>
    <t>9,202,432</t>
  </si>
  <si>
    <t>10,244</t>
  </si>
  <si>
    <t>898[17][18]</t>
  </si>
  <si>
    <t>4,017,000</t>
  </si>
  <si>
    <t>932</t>
  </si>
  <si>
    <t>4,310</t>
  </si>
  <si>
    <t>Guadalajara</t>
  </si>
  <si>
    <t>1,385,621</t>
  </si>
  <si>
    <t>151</t>
  </si>
  <si>
    <t>9,176[21]</t>
  </si>
  <si>
    <t>5,525,000</t>
  </si>
  <si>
    <t>816</t>
  </si>
  <si>
    <t>6,771</t>
  </si>
  <si>
    <t>5,286,642</t>
  </si>
  <si>
    <t>3,560</t>
  </si>
  <si>
    <t>Learnt Excel functions</t>
  </si>
  <si>
    <t>combine sheets using consolidate</t>
  </si>
  <si>
    <t>Automatic abbreviate using proofing</t>
  </si>
  <si>
    <t>sort columns</t>
  </si>
  <si>
    <t>3d reference using shift key</t>
  </si>
  <si>
    <t>data types - stocks and geography</t>
  </si>
  <si>
    <t>import data from web</t>
  </si>
  <si>
    <t>advanced filter option to filter for specific</t>
  </si>
  <si>
    <t>Camera - to capture and paste specified cells</t>
  </si>
  <si>
    <t>subtotal function</t>
  </si>
  <si>
    <t>format painter used to change the other formats using one</t>
  </si>
  <si>
    <t>YouTube</t>
  </si>
  <si>
    <t>Instagram</t>
  </si>
  <si>
    <t>Facebook</t>
  </si>
  <si>
    <t>people graph using add-ins and people graph</t>
  </si>
  <si>
    <t>repeat header in printed page using (print titles)</t>
  </si>
  <si>
    <t>goal seek to get the answer u want by changing the particular cell</t>
  </si>
  <si>
    <t>flash cell - ctrl+e for fill in specific pattern</t>
  </si>
  <si>
    <t>spell check</t>
  </si>
  <si>
    <t>Monday</t>
  </si>
  <si>
    <t>Tuesday</t>
  </si>
  <si>
    <t>Mon</t>
  </si>
  <si>
    <t>Tue</t>
  </si>
  <si>
    <t>Wednesday</t>
  </si>
  <si>
    <t>Thursday</t>
  </si>
  <si>
    <t>Friday</t>
  </si>
  <si>
    <t>Saturday</t>
  </si>
  <si>
    <t>Sunday</t>
  </si>
  <si>
    <t>Wed</t>
  </si>
  <si>
    <t>Thu</t>
  </si>
  <si>
    <t>Fri</t>
  </si>
  <si>
    <t>Sat</t>
  </si>
  <si>
    <t>Sun</t>
  </si>
  <si>
    <t>filter by</t>
  </si>
  <si>
    <t>china</t>
  </si>
  <si>
    <t>select and delete blank spaces using go to and blank</t>
  </si>
  <si>
    <t>lock excel  files</t>
  </si>
  <si>
    <t>custom tabs</t>
  </si>
  <si>
    <t xml:space="preserve">start up files </t>
  </si>
  <si>
    <t>right click menu</t>
  </si>
  <si>
    <t>custom lists</t>
  </si>
  <si>
    <t>pivot table update timer</t>
  </si>
  <si>
    <t>data validations</t>
  </si>
  <si>
    <t xml:space="preserve">advanced filter option to filter </t>
  </si>
  <si>
    <t>convert number into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</si>
</sst>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rgb="FF00B0F0"/>
      <name val="Aptos Narrow"/>
      <family val="2"/>
      <scheme val="minor"/>
    </font>
    <font>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7">
    <xf numFmtId="0" fontId="0" fillId="0" borderId="0" xfId="0"/>
    <xf numFmtId="0" fontId="2" fillId="2" borderId="0" xfId="0" applyFont="1" applyFill="1"/>
    <xf numFmtId="0" fontId="4" fillId="3" borderId="0" xfId="0" applyFont="1" applyFill="1"/>
    <xf numFmtId="0" fontId="0" fillId="0" borderId="0" xfId="0" applyNumberFormat="1"/>
    <xf numFmtId="9" fontId="0" fillId="0" borderId="0" xfId="1" applyFont="1"/>
    <xf numFmtId="9" fontId="0" fillId="0" borderId="0" xfId="0" applyNumberFormat="1"/>
    <xf numFmtId="9" fontId="0" fillId="0" borderId="0" xfId="1" applyNumberFormat="1" applyFont="1"/>
  </cellXfs>
  <cellStyles count="2">
    <cellStyle name="Normal" xfId="0" builtinId="0"/>
    <cellStyle name="Percent" xfId="1" builtinId="5"/>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theme" Target="theme/theme1.xml"/><Relationship Id="rId12" Type="http://schemas.microsoft.com/office/2020/07/relationships/rdRichValueWebImage" Target="richData/rdRichValueWebImage.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haredStrings" Target="sharedString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6</xdr:col>
      <xdr:colOff>123208</xdr:colOff>
      <xdr:row>0</xdr:row>
      <xdr:rowOff>18956</xdr:rowOff>
    </xdr:from>
    <xdr:to>
      <xdr:col>16</xdr:col>
      <xdr:colOff>47387</xdr:colOff>
      <xdr:row>19</xdr:row>
      <xdr:rowOff>47388</xdr:rowOff>
    </xdr:to>
    <mc:AlternateContent xmlns:mc="http://schemas.openxmlformats.org/markup-compatibility/2006">
      <mc:Choice xmlns:we="http://schemas.microsoft.com/office/webextensions/webextension/2010/11" Requires="we">
        <xdr:graphicFrame macro="">
          <xdr:nvGraphicFramePr>
            <xdr:cNvPr id="4" name="Add-in 3">
              <a:extLst>
                <a:ext uri="{FF2B5EF4-FFF2-40B4-BE49-F238E27FC236}">
                  <a16:creationId xmlns:a16="http://schemas.microsoft.com/office/drawing/2014/main" id="{5A2F34FD-63DE-3CAA-B8CC-4DFD94C99C9F}"/>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4" name="Add-in 3">
              <a:extLst>
                <a:ext uri="{FF2B5EF4-FFF2-40B4-BE49-F238E27FC236}">
                  <a16:creationId xmlns:a16="http://schemas.microsoft.com/office/drawing/2014/main" id="{5A2F34FD-63DE-3CAA-B8CC-4DFD94C99C9F}"/>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445872</xdr:colOff>
          <xdr:row>2</xdr:row>
          <xdr:rowOff>140387</xdr:rowOff>
        </xdr:from>
        <xdr:to>
          <xdr:col>10</xdr:col>
          <xdr:colOff>278713</xdr:colOff>
          <xdr:row>21</xdr:row>
          <xdr:rowOff>146736</xdr:rowOff>
        </xdr:to>
        <xdr:pic>
          <xdr:nvPicPr>
            <xdr:cNvPr id="2" name="Picture 1">
              <a:extLst>
                <a:ext uri="{FF2B5EF4-FFF2-40B4-BE49-F238E27FC236}">
                  <a16:creationId xmlns:a16="http://schemas.microsoft.com/office/drawing/2014/main" id="{D0D18EB9-F350-E4A3-32DC-732178C546AD}"/>
                </a:ext>
              </a:extLst>
            </xdr:cNvPr>
            <xdr:cNvPicPr>
              <a:picLocks noChangeAspect="1" noChangeArrowheads="1"/>
              <a:extLst>
                <a:ext uri="{84589F7E-364E-4C9E-8A38-B11213B215E9}">
                  <a14:cameraTool cellRange="'Table 3'!$A$1:$D$19" spid="_x0000_s8294"/>
                </a:ext>
              </a:extLst>
            </xdr:cNvPicPr>
          </xdr:nvPicPr>
          <xdr:blipFill>
            <a:blip xmlns:r="http://schemas.openxmlformats.org/officeDocument/2006/relationships" r:embed="rId1"/>
            <a:srcRect/>
            <a:stretch>
              <a:fillRect/>
            </a:stretch>
          </xdr:blipFill>
          <xdr:spPr bwMode="auto">
            <a:xfrm>
              <a:off x="1664386" y="500792"/>
              <a:ext cx="5788111" cy="343020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7013CD3-2EB9-47A2-B972-DA34F79E7D8E}" autoFormatId="16" applyNumberFormats="0" applyBorderFormats="0" applyFontFormats="0" applyPatternFormats="0" applyAlignmentFormats="0" applyWidthHeightFormats="0">
  <queryTableRefresh nextId="15" unboundColumnsRight="1">
    <queryTableFields count="14">
      <queryTableField id="1" name="City[a]" tableColumnId="1"/>
      <queryTableField id="2" name="Country" tableColumnId="2"/>
      <queryTableField id="3" name="UN 2018 population estimates[b]" tableColumnId="3"/>
      <queryTableField id="4" name="City proper[c]" tableColumnId="4"/>
      <queryTableField id="5" name="City proper[c]_1" tableColumnId="5"/>
      <queryTableField id="6" name="City proper[c]_2" tableColumnId="6"/>
      <queryTableField id="7" name="City proper[c]_3" tableColumnId="7"/>
      <queryTableField id="8" name="Urban area[8]" tableColumnId="8"/>
      <queryTableField id="9" name="Urban area[8]_4" tableColumnId="9"/>
      <queryTableField id="10" name="Urban area[8]_5" tableColumnId="10"/>
      <queryTableField id="11" name="Metropolitan area[d]" tableColumnId="11"/>
      <queryTableField id="12" name="Metropolitan area[d]_6" tableColumnId="12"/>
      <queryTableField id="13" name="Metropolitan area[d]_7" tableColumnId="13"/>
      <queryTableField id="14" dataBound="0" tableColumnId="14"/>
    </queryTableFields>
  </queryTableRefresh>
</queryTable>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3386bc8d96f35351f9956787a1c677c6&amp;qlt=95" TargetMode="External"/><Relationship Id="rId2" Type="http://schemas.openxmlformats.org/officeDocument/2006/relationships/hyperlink" Target="https://www.bing.com/images/search?form=xlimg&amp;q=London"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United%20States" TargetMode="External"/><Relationship Id="rId5" Type="http://schemas.openxmlformats.org/officeDocument/2006/relationships/hyperlink" Target="https://www.bing.com/th?id=OSK.08d481ce2e6378c8b3492a5438438208&amp;qlt=95" TargetMode="External"/><Relationship Id="rId4" Type="http://schemas.openxmlformats.org/officeDocument/2006/relationships/hyperlink" Target="https://www.bing.com/images/search?form=xlimg&amp;q=Indi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10">
  <a r="1">
    <v t="r">16</v>
  </a>
  <a r="1">
    <v t="s">Greenwich Mean Time</v>
  </a>
  <a r="3">
    <v t="r">44</v>
    <v t="r">45</v>
    <v t="r">46</v>
  </a>
  <a r="2">
    <v t="s">Indian English</v>
    <v t="s">Hindi</v>
  </a>
  <a r="34">
    <v t="r">65</v>
    <v t="r">66</v>
    <v t="r">67</v>
    <v t="r">68</v>
    <v t="r">69</v>
    <v t="r">70</v>
    <v t="r">71</v>
    <v t="r">72</v>
    <v t="r">73</v>
    <v t="r">74</v>
    <v t="r">75</v>
    <v t="r">76</v>
    <v t="r">77</v>
    <v t="r">78</v>
    <v t="r">79</v>
    <v t="r">80</v>
    <v t="r">81</v>
    <v t="r">82</v>
    <v t="r">83</v>
    <v t="r">84</v>
    <v t="r">85</v>
    <v t="r">86</v>
    <v t="r">87</v>
    <v t="r">88</v>
    <v t="r">89</v>
    <v t="r">90</v>
    <v t="r">91</v>
    <v t="r">92</v>
    <v t="r">93</v>
    <v t="r">94</v>
    <v t="r">95</v>
    <v t="r">96</v>
    <v t="r">97</v>
    <v t="r">98</v>
  </a>
  <a r="1">
    <v t="s">Indian Standard Time</v>
  </a>
  <a r="4">
    <v t="r">127</v>
    <v t="r">128</v>
    <v t="r">129</v>
    <v t="r">130</v>
  </a>
  <a r="1">
    <v t="s">English language</v>
  </a>
  <a r="55">
    <v t="r">149</v>
    <v t="r">150</v>
    <v t="r">151</v>
    <v t="r">152</v>
    <v t="r">153</v>
    <v t="r">154</v>
    <v t="r">155</v>
    <v t="r">156</v>
    <v t="r">157</v>
    <v t="r">158</v>
    <v t="r">159</v>
    <v t="r">160</v>
    <v t="r">161</v>
    <v t="r">162</v>
    <v t="r">163</v>
    <v t="r">164</v>
    <v t="r">165</v>
    <v t="r">166</v>
    <v t="r">167</v>
    <v t="r">168</v>
    <v t="r">169</v>
    <v t="r">170</v>
    <v t="r">171</v>
    <v t="r">172</v>
    <v t="r">173</v>
    <v t="r">174</v>
    <v t="r">175</v>
    <v t="r">176</v>
    <v t="r">177</v>
    <v t="r">178</v>
    <v t="r">179</v>
    <v t="r">180</v>
    <v t="r">181</v>
    <v t="r">182</v>
    <v t="r">183</v>
    <v t="r">184</v>
    <v t="r">185</v>
    <v t="r">186</v>
    <v t="r">187</v>
    <v t="r">188</v>
    <v t="r">189</v>
    <v t="r">190</v>
    <v t="r">191</v>
    <v t="r">192</v>
    <v t="r">193</v>
    <v t="r">194</v>
    <v t="r">195</v>
    <v t="r">196</v>
    <v t="r">197</v>
    <v t="r">198</v>
    <v t="r">199</v>
    <v t="r">200</v>
    <v t="r">201</v>
    <v t="r">202</v>
    <v t="r">203</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211">
  <rv s="0">
    <v>https://www.bing.com/financeapi/forcetrigger?t=ahkau2&amp;q=XNSE%3aTCS&amp;form=skydnc</v>
    <v>Learn more on Bing</v>
  </rv>
  <rv s="1">
    <v>en-IN</v>
    <v>ahkau2</v>
    <v>268435456</v>
    <v>1</v>
    <v>Powered by Refinitiv</v>
    <v>0</v>
    <v>TATA CONSULTANCY SERVICES LIMITED (XNSE:TCS)</v>
    <v>2</v>
    <v>3</v>
    <v>Finance</v>
    <v>4</v>
    <v>4592.25</v>
    <v>3295.73</v>
    <v>0.59489999999999998</v>
    <v>14.05</v>
    <v>3.4189999999999997E-3</v>
    <v>INR</v>
    <v>Tata Consultancy Services Limited (TCS) is an India-based company engaged in providing information technology (IT) services, consulting, and business solutions The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Jile, TCS Optumera, TCS TwinX, TCS TAP and TCS OmniStore. Its services portfolio consists of Artificial Intelligence, Cloud, Cognitive Business Operations, Consulting, Cybersecurity, Data and Analytics, Enterprise Solutions, Internet of Things (IoT) and Digital Engineering, TCS Interactive, TCS and AWS Cloud, TCS Enterprise Cloud, TCS and Google Cloud, TCS and Microsoft Cloud and others.</v>
    <v>612724</v>
    <v>National Stock Exchange of India</v>
    <v>XNSE</v>
    <v>XNSE</v>
    <v>9th Floor, Nirmal Building, Nariman Point, MUMBAI, MAHARASHTRA, 400021 IN</v>
    <v>4146.1499999999996</v>
    <v>Software &amp; IT Services</v>
    <v>Stock</v>
    <v>45583.467141203706</v>
    <v>0</v>
    <v>4080</v>
    <v>14866720000000</v>
    <v>TATA CONSULTANCY SERVICES LIMITED</v>
    <v>TATA CONSULTANCY SERVICES LIMITED</v>
    <v>4090</v>
    <v>31.4</v>
    <v>4109</v>
    <v>4123.05</v>
    <v>3618087000</v>
    <v>TCS</v>
    <v>TATA CONSULTANCY SERVICES LIMITED (XNSE:TCS)</v>
    <v>2361000</v>
    <v>2497940</v>
    <v>1995</v>
  </rv>
  <rv s="2">
    <v>1</v>
  </rv>
  <rv s="0">
    <v>https://www.bing.com/financeapi/forcetrigger?t=ae8177&amp;q=XPAR%3aCAP&amp;form=skydnc</v>
    <v>Learn more on Bing</v>
  </rv>
  <rv s="1">
    <v>en-IN</v>
    <v>ae8177</v>
    <v>268435456</v>
    <v>1</v>
    <v>Powered by Refinitiv</v>
    <v>0</v>
    <v>Capgemini SE (XPAR:CAP)</v>
    <v>2</v>
    <v>5</v>
    <v>Finance</v>
    <v>6</v>
    <v>227.4</v>
    <v>158.80000000000001</v>
    <v>1.0959000000000001</v>
    <v>2.2000000000000002</v>
    <v>1.2032000000000001E-2</v>
    <v>EUR</v>
    <v>Capgemini SE is a France-based company specialized in consulting, technology services and digital transformation. It operates through four segments: Application services, Technology and Engineering services, Consulting services and Other Managed services. Application services designs and develops technological solutions and help customers optimize their applications, among others. Technology and Engineering services assists and supports internal information technology (IT) and engineering teams within client companies. Consulting focuses on strategy, technology, data science, and creative design to support customers in creating new models and new products and services within the digital economy. Other Managed services integrates, manages, and/or develops clients’ IT infrastructure systems, among others.</v>
    <v>336923</v>
    <v>Euronext Paris</v>
    <v>XPAR</v>
    <v>XPAR</v>
    <v>Place de l'etoile, 11 rue de Tilsitt, PARIS, ILE-DE-FRANCE, 75017 FR</v>
    <v>185.45</v>
    <v>Software &amp; IT Services</v>
    <v>Stock</v>
    <v>45583.478148148148</v>
    <v>3</v>
    <v>182</v>
    <v>31561390000</v>
    <v>Capgemini SE</v>
    <v>Capgemini SE</v>
    <v>182.1</v>
    <v>18.497699999999998</v>
    <v>182.85</v>
    <v>185.05</v>
    <v>172608100</v>
    <v>CAP</v>
    <v>Capgemini SE (XPAR:CAP)</v>
    <v>85246</v>
    <v>312510</v>
    <v>1984</v>
  </rv>
  <rv s="2">
    <v>4</v>
  </rv>
  <rv s="0">
    <v>https://www.bing.com/financeapi/forcetrigger?t=a1qhz2&amp;q=XNAS%3aCTSH&amp;form=skydnc</v>
    <v>Learn more on Bing</v>
  </rv>
  <rv s="1">
    <v>en-IN</v>
    <v>a1qhz2</v>
    <v>268435456</v>
    <v>1</v>
    <v>Powered by Refinitiv</v>
    <v>0</v>
    <v>COGNIZANT TECHNOLOGY SOLUTIONS CORPORATION (XNAS:CTSH)</v>
    <v>2</v>
    <v>7</v>
    <v>Finance</v>
    <v>8</v>
    <v>80.27</v>
    <v>62.14</v>
    <v>1.0488</v>
    <v>0.14000000000000001</v>
    <v>1.804E-3</v>
    <v>USD</v>
    <v>Cognizant Technology Solutions Corporation is a professional services company. The Company operates through four segments: Financial Services (FS), Health Sciences (HS), Products and Resources (P&amp;R), and Communications, Media and Technology (CMT). The FS segment includes banking, capital markets, payments and insurance companies. Its HS segment consists of healthcare providers and payers, and life sciences companies, including pharmaceutical, biotech and medical device companies. Its P&amp;R segment includes manufacturers, automakers, retailers and travel and hospitality companies, as well as companies providing logistics, energy and utility services. Its CMT segment includes global communications, media and entertainment, education, information services and technology companies. Its services include digital services and solutions, consulting, application development, systems integration, quality engineering and assurance, application maintenance, and infrastructure and security.</v>
    <v>336300</v>
    <v>Nasdaq Stock Market</v>
    <v>XNAS</v>
    <v>XNAS</v>
    <v>300 Frank W. Burr Blvd., Ste. 36, 6 Fl., TEANECK, NJ, 07666 US</v>
    <v>78</v>
    <v>Software &amp; IT Services</v>
    <v>Stock</v>
    <v>45582.981167060156</v>
    <v>6</v>
    <v>76.88</v>
    <v>38532452920</v>
    <v>COGNIZANT TECHNOLOGY SOLUTIONS CORPORATION</v>
    <v>COGNIZANT TECHNOLOGY SOLUTIONS CORPORATION</v>
    <v>77.61</v>
    <v>17.723299999999998</v>
    <v>77.599999999999994</v>
    <v>77.739999999999995</v>
    <v>495658000</v>
    <v>CTSH</v>
    <v>COGNIZANT TECHNOLOGY SOLUTIONS CORPORATION (XNAS:CTSH)</v>
    <v>19</v>
    <v>2869583</v>
    <v>1988</v>
  </rv>
  <rv s="2">
    <v>7</v>
  </rv>
  <rv s="3">
    <v>536870912</v>
    <v>London</v>
    <v>8e0ba7b6-4225-fa8a-6369-1b5294e602a5</v>
    <v>en-IN</v>
    <v>Map</v>
  </rv>
  <rv s="3">
    <v>536870912</v>
    <v>England</v>
    <v>280d39e8-7217-6863-6980-a8c20c211c89</v>
    <v>en-IN</v>
    <v>Map</v>
  </rv>
  <rv s="3">
    <v>536870912</v>
    <v>Greater London</v>
    <v>2ba8a441-178c-f2c0-26cb-a4b260b8c806</v>
    <v>en-IN</v>
    <v>Map</v>
  </rv>
  <rv s="4">
    <fb>1572</fb>
    <v>16</v>
  </rv>
  <rv s="3">
    <v>536870912</v>
    <v>United Kingdom of Great Britain and Ireland</v>
    <v>0538d165-f2b4-64c9-9745-179dd804d95b</v>
    <v>en-IN</v>
    <v>Map</v>
  </rv>
  <rv s="5">
    <v>0</v>
    <v>14</v>
    <v>9</v>
    <v>7</v>
    <v>0</v>
    <v>Image of London</v>
  </rv>
  <rv s="4">
    <fb>51.507222222221998</fb>
    <v>17</v>
  </rv>
  <rv s="3">
    <v>805306368</v>
    <v>Sadiq Khan (Mayor)</v>
    <v>d7862dc2-4c03-1dc8-3412-7fe03041fdcb</v>
    <v>en-IN</v>
    <v>Generic</v>
  </rv>
  <rv s="6">
    <v>0</v>
  </rv>
  <rv s="0">
    <v>https://www.bing.com/search?q=london+england&amp;form=skydnc</v>
    <v>Learn more on Bing</v>
  </rv>
  <rv s="4">
    <fb>-0.1275</fb>
    <v>17</v>
  </rv>
  <rv s="4">
    <fb>8799728</fb>
    <v>16</v>
  </rv>
  <rv s="6">
    <v>1</v>
  </rv>
  <rv s="7">
    <v>#VALUE!</v>
    <v>en-IN</v>
    <v>8e0ba7b6-4225-fa8a-6369-1b5294e602a5</v>
    <v>536870912</v>
    <v>1</v>
    <v>10</v>
    <v>11</v>
    <v>London</v>
    <v>12</v>
    <v>13</v>
    <v>Map</v>
    <v>14</v>
    <v>15</v>
    <v>10</v>
    <v>11</v>
    <v>12</v>
    <v>13</v>
    <v>London is the capital and largest city of England and the United Kingdom, with a population of around 8.8 million. It stands on the River Thames in south-east England at the head of a 50-mile estuary down to the North Sea and has been a major ...</v>
    <v>14</v>
    <v>15</v>
    <v>17</v>
    <v>18</v>
    <v>19</v>
    <v>London</v>
    <v>20</v>
    <v>21</v>
    <v>London</v>
    <v>mdp/vdpid/5471798185326280713</v>
  </rv>
  <rv s="3">
    <v>536870912</v>
    <v>India</v>
    <v>85fa63d3-9596-adb9-b4eb-502273d84f56</v>
    <v>en-IN</v>
    <v>Map</v>
  </rv>
  <rv s="4">
    <fb>0.60447196445568596</fb>
    <v>38</v>
  </rv>
  <rv s="4">
    <fb>3287263</fb>
    <v>16</v>
  </rv>
  <rv s="4">
    <fb>3031000</fb>
    <v>16</v>
  </rv>
  <rv s="4">
    <fb>17.856999999999999</fb>
    <v>39</v>
  </rv>
  <rv s="4">
    <fb>91</fb>
    <v>40</v>
  </rv>
  <rv s="3">
    <v>536870912</v>
    <v>New Delhi</v>
    <v>b474d3c7-a39a-d5ba-7426-18e00042f03e</v>
    <v>en-IN</v>
    <v>Map</v>
  </rv>
  <rv s="4">
    <fb>2407671.5260000001</fb>
    <v>16</v>
  </rv>
  <rv s="4">
    <fb>180.43581241118</fb>
    <v>41</v>
  </rv>
  <rv s="4">
    <fb>7.6596947427925291E-2</fb>
    <v>38</v>
  </rv>
  <rv s="4">
    <fb>804.51422808927896</fb>
    <v>16</v>
  </rv>
  <rv s="4">
    <fb>2.222</fb>
    <v>39</v>
  </rv>
  <rv s="4">
    <fb>0.23833121474746</fb>
    <v>38</v>
  </rv>
  <rv s="4">
    <fb>73.576979087800794</fb>
    <v>42</v>
  </rv>
  <rv s="4">
    <fb>0.97</fb>
    <v>43</v>
  </rv>
  <rv s="4">
    <fb>2611000000000.0098</fb>
    <v>44</v>
  </rv>
  <rv s="4">
    <fb>1.1295785999999999</fb>
    <v>38</v>
  </rv>
  <rv s="4">
    <fb>0.28060550000000001</fb>
    <v>38</v>
  </rv>
  <rv s="5">
    <v>1</v>
    <v>14</v>
    <v>20</v>
    <v>7</v>
    <v>0</v>
    <v>Image of India</v>
  </rv>
  <rv s="4">
    <fb>29.9</fb>
    <v>42</v>
  </rv>
  <rv s="3">
    <v>536870912</v>
    <v>Mumbai</v>
    <v>fbbc8d69-667a-e1ff-34bf-e524be01025d</v>
    <v>en-IN</v>
    <v>Map</v>
  </rv>
  <rv s="3">
    <v>805306368</v>
    <v>Droupadi Murmu (President)</v>
    <v>adde4ff7-2867-52d2-5cee-2e1eb72876cd</v>
    <v>en-IN</v>
    <v>Generic</v>
  </rv>
  <rv s="3">
    <v>805306368</v>
    <v>Jagdeep Dhankhar (Vice president)</v>
    <v>cfa2e8c7-64e1-e81b-7e51-6da604f190d6</v>
    <v>en-IN</v>
    <v>Generic</v>
  </rv>
  <rv s="3">
    <v>805306368</v>
    <v>Narendra Modi (Prime minister)</v>
    <v>04fee623-e9bd-ee4b-f30d-cad3c29199e4</v>
    <v>en-IN</v>
    <v>Generic</v>
  </rv>
  <rv s="6">
    <v>2</v>
  </rv>
  <rv s="0">
    <v>https://www.bing.com/search?q=india&amp;form=skydnc</v>
    <v>Learn more on Bing</v>
  </rv>
  <rv s="4">
    <fb>69.415999999999997</fb>
    <v>42</v>
  </rv>
  <rv s="4">
    <fb>2179781240000</fb>
    <v>44</v>
  </rv>
  <rv s="4">
    <fb>145</fb>
    <v>42</v>
  </rv>
  <rv s="4">
    <fb>0.3</fb>
    <v>43</v>
  </rv>
  <rv s="6">
    <v>3</v>
  </rv>
  <rv s="4">
    <fb>0.65060906480000003</fb>
    <v>38</v>
  </rv>
  <rv s="4">
    <fb>0.85709999999999997</fb>
    <v>39</v>
  </rv>
  <rv s="4">
    <fb>1417173173</fb>
    <v>16</v>
  </rv>
  <rv s="4">
    <fb>0.20300000000000001</fb>
    <v>38</v>
  </rv>
  <rv s="4">
    <fb>0.317</fb>
    <v>38</v>
  </rv>
  <rv s="4">
    <fb>0.46200000000000002</fb>
    <v>38</v>
  </rv>
  <rv s="4">
    <fb>3.3000000000000002E-2</fb>
    <v>38</v>
  </rv>
  <rv s="4">
    <fb>7.6999999999999999E-2</fb>
    <v>38</v>
  </rv>
  <rv s="4">
    <fb>0.111</fb>
    <v>38</v>
  </rv>
  <rv s="4">
    <fb>0.14699999999999999</fb>
    <v>38</v>
  </rv>
  <rv s="4">
    <fb>0.49292999267578097</fb>
    <v>38</v>
  </rv>
  <rv s="3">
    <v>536870912</v>
    <v>Arunachal Pradesh</v>
    <v>c2da5cc2-b1a0-f17a-707d-e5067136b9e9</v>
    <v>en-IN</v>
    <v>Map</v>
  </rv>
  <rv s="3">
    <v>536870912</v>
    <v>Assam</v>
    <v>a9d4e5df-f559-c28f-dc41-7c72a82dfaf7</v>
    <v>en-IN</v>
    <v>Map</v>
  </rv>
  <rv s="3">
    <v>536870912</v>
    <v>Bihar</v>
    <v>e402c108-ade8-40dd-b6d7-f36882e8e3e3</v>
    <v>en-IN</v>
    <v>Map</v>
  </rv>
  <rv s="3">
    <v>536870912</v>
    <v>Chhattisgarh</v>
    <v>91e8d1d3-b929-8697-13f5-91241ae0d1b6</v>
    <v>en-IN</v>
    <v>Map</v>
  </rv>
  <rv s="3">
    <v>536870912</v>
    <v>Goa</v>
    <v>d9bda1c6-a2c4-994c-5335-195386cef40a</v>
    <v>en-IN</v>
    <v>Map</v>
  </rv>
  <rv s="3">
    <v>536870912</v>
    <v>Gujarat</v>
    <v>c70b768e-21ab-4f53-a356-564e8da2291e</v>
    <v>en-IN</v>
    <v>Map</v>
  </rv>
  <rv s="3">
    <v>536870912</v>
    <v>Haryana</v>
    <v>f50b36c9-0e06-9b0a-b657-100ebb295bb1</v>
    <v>en-IN</v>
    <v>Map</v>
  </rv>
  <rv s="3">
    <v>536870912</v>
    <v>Himachal Pradesh</v>
    <v>0e213229-adc2-378d-f093-949050fffa34</v>
    <v>en-IN</v>
    <v>Map</v>
  </rv>
  <rv s="3">
    <v>536870912</v>
    <v>Jharkhand</v>
    <v>9cf33868-3d76-c243-1cd3-91dda44b77e3</v>
    <v>en-IN</v>
    <v>Map</v>
  </rv>
  <rv s="3">
    <v>536870912</v>
    <v>Karnataka</v>
    <v>216903eb-bbc1-497e-b914-8eb69db6f747</v>
    <v>en-IN</v>
    <v>Map</v>
  </rv>
  <rv s="3">
    <v>536870912</v>
    <v>Kerala</v>
    <v>9d932c0c-d3e6-abbd-5274-6b53036ca764</v>
    <v>en-IN</v>
    <v>Map</v>
  </rv>
  <rv s="3">
    <v>536870912</v>
    <v>Madhya Pradesh</v>
    <v>bcbcd891-852b-6dac-1671-8d00b9eae5ea</v>
    <v>en-IN</v>
    <v>Map</v>
  </rv>
  <rv s="3">
    <v>536870912</v>
    <v>Maharashtra</v>
    <v>8e20e4dc-1423-75a9-a049-5e500370aafa</v>
    <v>en-IN</v>
    <v>Map</v>
  </rv>
  <rv s="3">
    <v>536870912</v>
    <v>Manipur</v>
    <v>774dc6a3-56a4-d8f3-26d2-6e2536af50a5</v>
    <v>en-IN</v>
    <v>Map</v>
  </rv>
  <rv s="3">
    <v>536870912</v>
    <v>Meghalaya</v>
    <v>b317786c-1e28-16cc-03ca-835f315a094d</v>
    <v>en-IN</v>
    <v>Map</v>
  </rv>
  <rv s="3">
    <v>536870912</v>
    <v>Mizoram</v>
    <v>a1dcfd92-e2ab-1111-48a2-8c885ebd1155</v>
    <v>en-IN</v>
    <v>Map</v>
  </rv>
  <rv s="3">
    <v>536870912</v>
    <v>Nagaland</v>
    <v>9097c945-eb0e-f294-cb7f-43ad572c6903</v>
    <v>en-IN</v>
    <v>Map</v>
  </rv>
  <rv s="3">
    <v>536870912</v>
    <v>Odisha</v>
    <v>becca699-9820-c027-8e14-b5840348a600</v>
    <v>en-IN</v>
    <v>Map</v>
  </rv>
  <rv s="3">
    <v>536870912</v>
    <v>Punjab</v>
    <v>d98d08e1-818e-a7ba-30a5-4637a11eec3e</v>
    <v>en-IN</v>
    <v>Map</v>
  </rv>
  <rv s="3">
    <v>536870912</v>
    <v>Rajasthan</v>
    <v>58d414c6-9557-d15b-60ff-52f256e32345</v>
    <v>en-IN</v>
    <v>Map</v>
  </rv>
  <rv s="3">
    <v>536870912</v>
    <v>Sikkim</v>
    <v>aa8e9a23-8c5b-d667-7f28-62e9ce93f9bd</v>
    <v>en-IN</v>
    <v>Map</v>
  </rv>
  <rv s="3">
    <v>536870912</v>
    <v>Tamil Nadu</v>
    <v>6e3e5a82-8737-a613-1d99-0b4d68370109</v>
    <v>en-IN</v>
    <v>Map</v>
  </rv>
  <rv s="3">
    <v>536870912</v>
    <v>Tripura</v>
    <v>a7fa8608-5e0d-f0d4-37a2-b87e3fe2b039</v>
    <v>en-IN</v>
    <v>Map</v>
  </rv>
  <rv s="3">
    <v>536870912</v>
    <v>Uttar Pradesh</v>
    <v>f624b656-1585-9836-7a98-128016c67d52</v>
    <v>en-IN</v>
    <v>Map</v>
  </rv>
  <rv s="3">
    <v>536870912</v>
    <v>Uttarakhand</v>
    <v>41a39bbc-6b82-df10-b345-3afffff3985d</v>
    <v>en-IN</v>
    <v>Map</v>
  </rv>
  <rv s="3">
    <v>536870912</v>
    <v>West Bengal</v>
    <v>067d886f-4d7d-8889-c8c7-d54e2dbc1cb8</v>
    <v>en-IN</v>
    <v>Map</v>
  </rv>
  <rv s="3">
    <v>536870912</v>
    <v>Andaman and Nicobar Islands</v>
    <v>0543bce3-574a-8949-ac01-944cd0418886</v>
    <v>en-IN</v>
    <v>Map</v>
  </rv>
  <rv s="3">
    <v>536870912</v>
    <v>Chandigarh</v>
    <v>10beaf9e-bdab-00b9-8037-79ffe16cf357</v>
    <v>en-IN</v>
    <v>Map</v>
  </rv>
  <rv s="3">
    <v>536870912</v>
    <v>Lakshadweep</v>
    <v>90dcf823-b8a7-5ca7-11dd-dcf29ea357f2</v>
    <v>en-IN</v>
    <v>Map</v>
  </rv>
  <rv s="3">
    <v>536870912</v>
    <v>Delhi</v>
    <v>275e8ab8-7bd0-4633-9c89-0133be92e587</v>
    <v>en-IN</v>
    <v>Map</v>
  </rv>
  <rv s="3">
    <v>536870912</v>
    <v>Puducherry</v>
    <v>6e0dc6cc-da9d-7f4a-75a8-85997485edfd</v>
    <v>en-IN</v>
    <v>Map</v>
  </rv>
  <rv s="3">
    <v>536870912</v>
    <v>Telangana</v>
    <v>19abdc7d-29ea-4ed5-99d8-3a1d7bc90b05</v>
    <v>en-IN</v>
    <v>Map</v>
  </rv>
  <rv s="3">
    <v>536870912</v>
    <v>Andhra Pradesh</v>
    <v>9e3a52bb-38ae-c817-5cd2-7a8dd2a4c0e5</v>
    <v>en-IN</v>
    <v>Map</v>
  </rv>
  <rv s="3">
    <v>536870912</v>
    <v>Ladakh</v>
    <v>a7a84d3a-9c83-e85a-7347-73d712e71fe2</v>
    <v>en-IN</v>
    <v>Map</v>
  </rv>
  <rv s="6">
    <v>4</v>
  </rv>
  <rv s="4">
    <fb>0.111799218352875</fb>
    <v>38</v>
  </rv>
  <rv s="6">
    <v>5</v>
  </rv>
  <rv s="4">
    <fb>0.49700000000000005</fb>
    <v>38</v>
  </rv>
  <rv s="4">
    <fb>5.35500001907349E-2</fb>
    <v>45</v>
  </rv>
  <rv s="4">
    <fb>471031528</fb>
    <v>16</v>
  </rv>
  <rv s="8">
    <v>#VALUE!</v>
    <v>en-IN</v>
    <v>85fa63d3-9596-adb9-b4eb-502273d84f56</v>
    <v>536870912</v>
    <v>1</v>
    <v>35</v>
    <v>36</v>
    <v>India</v>
    <v>12</v>
    <v>13</v>
    <v>Map</v>
    <v>14</v>
    <v>37</v>
    <v>IN</v>
    <v>24</v>
    <v>25</v>
    <v>26</v>
    <v>27</v>
    <v>28</v>
    <v>29</v>
    <v>30</v>
    <v>31</v>
    <v>32</v>
    <v>INR</v>
    <v>India, officially the Republic of India, is a country in South Asia. It is the seventh-largest country by area; the most populous country as of June 2023; and from the time of its independence in 1947, the world's most populous democracy. ...</v>
    <v>33</v>
    <v>34</v>
    <v>35</v>
    <v>36</v>
    <v>37</v>
    <v>38</v>
    <v>39</v>
    <v>40</v>
    <v>41</v>
    <v>42</v>
    <v>43</v>
    <v>47</v>
    <v>48</v>
    <v>49</v>
    <v>50</v>
    <v>51</v>
    <v>52</v>
    <v>India</v>
    <v>Jana Gana Mana</v>
    <v>53</v>
    <v>भारत गणराज्य</v>
    <v>54</v>
    <v>55</v>
    <v>56</v>
    <v>57</v>
    <v>58</v>
    <v>59</v>
    <v>60</v>
    <v>61</v>
    <v>62</v>
    <v>63</v>
    <v>64</v>
    <v>99</v>
    <v>100</v>
    <v>101</v>
    <v>102</v>
    <v>103</v>
    <v>India</v>
    <v>104</v>
    <v>mdp/vdpid/113</v>
  </rv>
  <rv s="3">
    <v>536870912</v>
    <v>United States</v>
    <v>5232ed96-85b1-2edb-12c6-63e6c597a1de</v>
    <v>en-IN</v>
    <v>Map</v>
  </rv>
  <rv s="4">
    <fb>0.44369067999501505</fb>
    <v>38</v>
  </rv>
  <rv s="4">
    <fb>9826675</fb>
    <v>16</v>
  </rv>
  <rv s="4">
    <fb>1359000</fb>
    <v>16</v>
  </rv>
  <rv s="4">
    <fb>11.6</fb>
    <v>39</v>
  </rv>
  <rv s="4">
    <fb>1</fb>
    <v>40</v>
  </rv>
  <rv s="3">
    <v>536870912</v>
    <v>Washington, D.C.</v>
    <v>216726d1-8987-06d3-5eff-823da05c3d3c</v>
    <v>en-IN</v>
    <v>Map</v>
  </rv>
  <rv s="4">
    <fb>5006302.0769999996</fb>
    <v>16</v>
  </rv>
  <rv s="4">
    <fb>117.244195476228</fb>
    <v>41</v>
  </rv>
  <rv s="4">
    <fb>7.4999999999999997E-2</fb>
    <v>38</v>
  </rv>
  <rv s="4">
    <fb>12993.961824772699</fb>
    <v>16</v>
  </rv>
  <rv s="4">
    <fb>1.7295</fb>
    <v>39</v>
  </rv>
  <rv s="4">
    <fb>0.339297856663409</fb>
    <v>38</v>
  </rv>
  <rv s="4">
    <fb>82.427828245269197</fb>
    <v>42</v>
  </rv>
  <rv s="4">
    <fb>0.71</fb>
    <v>43</v>
  </rv>
  <rv s="4">
    <fb>21427700000000</fb>
    <v>44</v>
  </rv>
  <rv s="4">
    <fb>1.0182144</fb>
    <v>38</v>
  </rv>
  <rv s="4">
    <fb>0.88167390000000001</fb>
    <v>38</v>
  </rv>
  <rv s="5">
    <v>2</v>
    <v>14</v>
    <v>47</v>
    <v>7</v>
    <v>0</v>
    <v>Image of United States</v>
  </rv>
  <rv s="4">
    <fb>5.6</fb>
    <v>42</v>
  </rv>
  <rv s="3">
    <v>536870912</v>
    <v>New York City</v>
    <v>60d5dc2b-c915-460b-b722-c9e3485499ca</v>
    <v>en-IN</v>
    <v>Map</v>
  </rv>
  <rv s="3">
    <v>805306368</v>
    <v>Joe Biden (President)</v>
    <v>cad484f9-be75-7a78-12dd-16233f823cd7</v>
    <v>en-IN</v>
    <v>Generic</v>
  </rv>
  <rv s="3">
    <v>805306368</v>
    <v>Kamala Harris (Vice president)</v>
    <v>ef5cf66f-32b7-7271-286a-8e8313eda5c5</v>
    <v>en-IN</v>
    <v>Generic</v>
  </rv>
  <rv s="3">
    <v>805306368</v>
    <v>Kevin McCarthy (Speaker)</v>
    <v>deb3b1b0-ed4c-206d-2f27-d94f7f833250</v>
    <v>en-IN</v>
    <v>Generic</v>
  </rv>
  <rv s="3">
    <v>805306368</v>
    <v>John Roberts (Chief justice)</v>
    <v>af7f7f4b-fd5b-867d-e108-4b6ecf118076</v>
    <v>en-IN</v>
    <v>Generic</v>
  </rv>
  <rv s="6">
    <v>6</v>
  </rv>
  <rv s="0">
    <v>https://www.bing.com/search?q=united+states&amp;form=skydnc</v>
    <v>Learn more on Bing</v>
  </rv>
  <rv s="4">
    <fb>78.539024390243895</fb>
    <v>42</v>
  </rv>
  <rv s="4">
    <fb>30436313050000</fb>
    <v>44</v>
  </rv>
  <rv s="4">
    <fb>19</fb>
    <v>42</v>
  </rv>
  <rv s="4">
    <fb>7.25</fb>
    <v>43</v>
  </rv>
  <rv s="6">
    <v>7</v>
  </rv>
  <rv s="4">
    <fb>0.1108387988</fb>
    <v>38</v>
  </rv>
  <rv s="4">
    <fb>2.6120000000000001</fb>
    <v>39</v>
  </rv>
  <rv s="4">
    <fb>331893745</fb>
    <v>16</v>
  </rv>
  <rv s="4">
    <fb>0.22600000000000001</fb>
    <v>38</v>
  </rv>
  <rv s="4">
    <fb>0.30499999999999999</fb>
    <v>38</v>
  </rv>
  <rv s="4">
    <fb>0.46799999999999997</fb>
    <v>38</v>
  </rv>
  <rv s="4">
    <fb>1.7000000000000001E-2</fb>
    <v>38</v>
  </rv>
  <rv s="4">
    <fb>5.0999999999999997E-2</fb>
    <v>38</v>
  </rv>
  <rv s="4">
    <fb>0.10300000000000001</fb>
    <v>38</v>
  </rv>
  <rv s="4">
    <fb>0.153</fb>
    <v>38</v>
  </rv>
  <rv s="4">
    <fb>0.62048999786377002</fb>
    <v>38</v>
  </rv>
  <rv s="3">
    <v>536870912</v>
    <v>Alabama</v>
    <v>376f8b06-52f6-4e72-a31d-311a3563e645</v>
    <v>en-IN</v>
    <v>Map</v>
  </rv>
  <rv s="3">
    <v>536870912</v>
    <v>Arkansas</v>
    <v>b939db72-08f2-4ea6-a16a-a53bf32e6612</v>
    <v>en-IN</v>
    <v>Map</v>
  </rv>
  <rv s="3">
    <v>536870912</v>
    <v>California</v>
    <v>3009d91d-d582-4c34-85ba-772ba09e5be1</v>
    <v>en-IN</v>
    <v>Map</v>
  </rv>
  <rv s="3">
    <v>536870912</v>
    <v>Colorado</v>
    <v>a070c5c2-b22d-41d8-b869-f20e583c4f80</v>
    <v>en-IN</v>
    <v>Map</v>
  </rv>
  <rv s="3">
    <v>536870912</v>
    <v>Connecticut</v>
    <v>b3ca6523-435e-4a3b-8f78-1ad900a52cf8</v>
    <v>en-IN</v>
    <v>Map</v>
  </rv>
  <rv s="3">
    <v>536870912</v>
    <v>Florida</v>
    <v>5fece3f4-e8e8-4159-843e-f725a930ad50</v>
    <v>en-IN</v>
    <v>Map</v>
  </rv>
  <rv s="3">
    <v>536870912</v>
    <v>Georgia</v>
    <v>84604bc7-2c47-4f8d-8ea5-b6ac8c018a20</v>
    <v>en-IN</v>
    <v>Map</v>
  </rv>
  <rv s="3">
    <v>536870912</v>
    <v>Hawaii</v>
    <v>b6f01eaf-aecf-44f6-b64d-1f6e982365c3</v>
    <v>en-IN</v>
    <v>Map</v>
  </rv>
  <rv s="3">
    <v>536870912</v>
    <v>Idaho</v>
    <v>ecd30387-20fa-4523-9045-e2860154b5e9</v>
    <v>en-IN</v>
    <v>Map</v>
  </rv>
  <rv s="3">
    <v>536870912</v>
    <v>Illinois</v>
    <v>4131acb8-628a-4241-8920-ca79eab9dade</v>
    <v>en-IN</v>
    <v>Map</v>
  </rv>
  <rv s="3">
    <v>536870912</v>
    <v>Indiana</v>
    <v>109f7e5a-efbb-4953-b4b8-cb812ce1ff5d</v>
    <v>en-IN</v>
    <v>Map</v>
  </rv>
  <rv s="3">
    <v>536870912</v>
    <v>Iowa</v>
    <v>77850824-b07a-487a-af58-37f9949afc27</v>
    <v>en-IN</v>
    <v>Map</v>
  </rv>
  <rv s="3">
    <v>536870912</v>
    <v>Kansas</v>
    <v>6e527b71-bd3e-4bc1-b1c0-59d288b4fd5e</v>
    <v>en-IN</v>
    <v>Map</v>
  </rv>
  <rv s="3">
    <v>536870912</v>
    <v>Kentucky</v>
    <v>108dfd18-4626-481a-8dfa-18f64e6eac84</v>
    <v>en-IN</v>
    <v>Map</v>
  </rv>
  <rv s="3">
    <v>536870912</v>
    <v>Louisiana</v>
    <v>0ca1e87f-e2f6-43fb-8deb-d22bd09a9cae</v>
    <v>en-IN</v>
    <v>Map</v>
  </rv>
  <rv s="3">
    <v>536870912</v>
    <v>Maine</v>
    <v>d62dd683-9cf9-4db9-a497-d810d529592b</v>
    <v>en-IN</v>
    <v>Map</v>
  </rv>
  <rv s="3">
    <v>536870912</v>
    <v>Maryland</v>
    <v>4c472f4d-06a8-4d90-8bb8-da4d168c73fe</v>
    <v>en-IN</v>
    <v>Map</v>
  </rv>
  <rv s="3">
    <v>536870912</v>
    <v>Massachusetts</v>
    <v>845219d5-3650-4199-b926-964ca27c863c</v>
    <v>en-IN</v>
    <v>Map</v>
  </rv>
  <rv s="3">
    <v>536870912</v>
    <v>Michigan</v>
    <v>162411c2-b757-495d-aa81-93942fae2f7e</v>
    <v>en-IN</v>
    <v>Map</v>
  </rv>
  <rv s="3">
    <v>536870912</v>
    <v>Minnesota</v>
    <v>77f97f6f-7e93-46e5-b486-6198effe8dea</v>
    <v>en-IN</v>
    <v>Map</v>
  </rv>
  <rv s="3">
    <v>536870912</v>
    <v>Mississippi</v>
    <v>6af619ca-217d-49c0-9a86-153fc7fbcd78</v>
    <v>en-IN</v>
    <v>Map</v>
  </rv>
  <rv s="3">
    <v>536870912</v>
    <v>Missouri</v>
    <v>6185f8cb-44e1-4da6-9bf0-b75286aeb591</v>
    <v>en-IN</v>
    <v>Map</v>
  </rv>
  <rv s="3">
    <v>536870912</v>
    <v>Montana</v>
    <v>447d6cd5-53f6-4c8f-bf6c-9ff228415c3b</v>
    <v>en-IN</v>
    <v>Map</v>
  </rv>
  <rv s="3">
    <v>536870912</v>
    <v>Nebraska</v>
    <v>3e64ff5d-6b40-4dbe-91b1-0e554e892496</v>
    <v>en-IN</v>
    <v>Map</v>
  </rv>
  <rv s="3">
    <v>536870912</v>
    <v>Nevada</v>
    <v>c2157d7e-617e-4517-80f8-1b08113afc14</v>
    <v>en-IN</v>
    <v>Map</v>
  </rv>
  <rv s="3">
    <v>536870912</v>
    <v>New Hampshire</v>
    <v>9ca71997-cc97-46eb-8911-fac32f80b0b1</v>
    <v>en-IN</v>
    <v>Map</v>
  </rv>
  <rv s="3">
    <v>536870912</v>
    <v>New Jersey</v>
    <v>05277898-b62b-4878-8632-09d29756a2ff</v>
    <v>en-IN</v>
    <v>Map</v>
  </rv>
  <rv s="3">
    <v>536870912</v>
    <v>New Mexico</v>
    <v>a16d3636-4349-41c7-a77e-89e34b26a8ad</v>
    <v>en-IN</v>
    <v>Map</v>
  </rv>
  <rv s="3">
    <v>536870912</v>
    <v>New York</v>
    <v>caeb7b9a-f5d7-4686-8fb5-cf7628296b13</v>
    <v>en-IN</v>
    <v>Map</v>
  </rv>
  <rv s="3">
    <v>536870912</v>
    <v>North Carolina</v>
    <v>9e2bf053-dd80-4646-8f26-65075e7085c0</v>
    <v>en-IN</v>
    <v>Map</v>
  </rv>
  <rv s="3">
    <v>536870912</v>
    <v>North Dakota</v>
    <v>77fbc744-3efe-4aa9-9e8e-f8034f06b941</v>
    <v>en-IN</v>
    <v>Map</v>
  </rv>
  <rv s="3">
    <v>536870912</v>
    <v>Ohio</v>
    <v>6f3df7da-1ef6-48e3-b2b3-b5b5fce3e846</v>
    <v>en-IN</v>
    <v>Map</v>
  </rv>
  <rv s="3">
    <v>536870912</v>
    <v>Oklahoma</v>
    <v>cbcf556f-952a-4665-bb95-0500b27f9976</v>
    <v>en-IN</v>
    <v>Map</v>
  </rv>
  <rv s="3">
    <v>536870912</v>
    <v>Oregon</v>
    <v>cacd36fd-7c62-43e2-a632-64a2a1811933</v>
    <v>en-IN</v>
    <v>Map</v>
  </rv>
  <rv s="3">
    <v>536870912</v>
    <v>Pennsylvania</v>
    <v>6304580e-c803-4266-818a-971619176547</v>
    <v>en-IN</v>
    <v>Map</v>
  </rv>
  <rv s="3">
    <v>536870912</v>
    <v>Rhode Island</v>
    <v>65a08f52-b469-4f7c-8353-9b3c0b2a5752</v>
    <v>en-IN</v>
    <v>Map</v>
  </rv>
  <rv s="3">
    <v>536870912</v>
    <v>South Carolina</v>
    <v>810015e8-b10b-4232-9e2c-de87a67bd26e</v>
    <v>en-IN</v>
    <v>Map</v>
  </rv>
  <rv s="3">
    <v>536870912</v>
    <v>South Dakota</v>
    <v>9cee0b65-d357-479e-a066-31c634648f47</v>
    <v>en-IN</v>
    <v>Map</v>
  </rv>
  <rv s="3">
    <v>536870912</v>
    <v>Tennessee</v>
    <v>9bbc9c72-1bf1-4ef6-b66d-a6cdef70f4f3</v>
    <v>en-IN</v>
    <v>Map</v>
  </rv>
  <rv s="3">
    <v>536870912</v>
    <v>Texas</v>
    <v>00a23ccd-3344-461c-8b9f-c2bb55be5815</v>
    <v>en-IN</v>
    <v>Map</v>
  </rv>
  <rv s="3">
    <v>536870912</v>
    <v>Utah</v>
    <v>c6705e44-d27f-4240-95a2-54e802e3b524</v>
    <v>en-IN</v>
    <v>Map</v>
  </rv>
  <rv s="3">
    <v>536870912</v>
    <v>Vermont</v>
    <v>221864cc-447e-4e78-847c-59e485d73bff</v>
    <v>en-IN</v>
    <v>Map</v>
  </rv>
  <rv s="3">
    <v>536870912</v>
    <v>Virginia</v>
    <v>7eee9976-e8a7-472c-ada1-007208abd678</v>
    <v>en-IN</v>
    <v>Map</v>
  </rv>
  <rv s="3">
    <v>536870912</v>
    <v>Washington</v>
    <v>982ad551-fd5d-45df-bd70-bf704dd576e4</v>
    <v>en-IN</v>
    <v>Map</v>
  </rv>
  <rv s="3">
    <v>536870912</v>
    <v>West Virginia</v>
    <v>8a47255a-fae3-4faa-aa32-c6f384cb6c1d</v>
    <v>en-IN</v>
    <v>Map</v>
  </rv>
  <rv s="3">
    <v>536870912</v>
    <v>Wisconsin</v>
    <v>cb4d2853-06f4-4467-8e7c-4e31cbb35cb2</v>
    <v>en-IN</v>
    <v>Map</v>
  </rv>
  <rv s="3">
    <v>536870912</v>
    <v>Wyoming</v>
    <v>bff03ad6-2b7f-400b-a76e-eb9fc4a93961</v>
    <v>en-IN</v>
    <v>Map</v>
  </rv>
  <rv s="3">
    <v>536870912</v>
    <v>American Samoa</v>
    <v>12d04d63-b9b5-855b-0821-b32474a729a4</v>
    <v>en-IN</v>
    <v>Map</v>
  </rv>
  <rv s="3">
    <v>536870912</v>
    <v>Guam</v>
    <v>f842c067-b461-3084-6a3b-6c6c7431fc9a</v>
    <v>en-IN</v>
    <v>Map</v>
  </rv>
  <rv s="3">
    <v>536870912</v>
    <v>Northern Mariana Islands</v>
    <v>f4475436-adda-9ff0-b5fe-6c3dff0e26be</v>
    <v>en-IN</v>
    <v>Map</v>
  </rv>
  <rv s="3">
    <v>536870912</v>
    <v>Puerto Rico</v>
    <v>72752f4d-11d3-5470-b64e-b9e012b0520f</v>
    <v>en-IN</v>
    <v>Map</v>
  </rv>
  <rv s="3">
    <v>536870912</v>
    <v>United States Virgin Islands</v>
    <v>38bd827b-bc00-140e-85be-46a96078429c</v>
    <v>en-IN</v>
    <v>Map</v>
  </rv>
  <rv s="3">
    <v>536870912</v>
    <v>Alaska</v>
    <v>31c4c7a1-54e7-4306-ac9b-f1b02e85bda5</v>
    <v>en-IN</v>
    <v>Map</v>
  </rv>
  <rv s="3">
    <v>536870912</v>
    <v>Arizona</v>
    <v>bf973f46-5962-4997-a7ba-a05f1aa2a9f9</v>
    <v>en-IN</v>
    <v>Map</v>
  </rv>
  <rv s="3">
    <v>536870912</v>
    <v>Delaware</v>
    <v>8ad617cc-3d7a-4b3c-a787-098de959ccc4</v>
    <v>en-IN</v>
    <v>Map</v>
  </rv>
  <rv s="6">
    <v>8</v>
  </rv>
  <rv s="4">
    <fb>9.5866513904898809E-2</fb>
    <v>38</v>
  </rv>
  <rv s="6">
    <v>9</v>
  </rv>
  <rv s="4">
    <fb>0.36599999999999999</fb>
    <v>38</v>
  </rv>
  <rv s="4">
    <fb>0.14699999999999999</fb>
    <v>45</v>
  </rv>
  <rv s="4">
    <fb>270663028</fb>
    <v>16</v>
  </rv>
  <rv s="8">
    <v>#VALUE!</v>
    <v>en-IN</v>
    <v>5232ed96-85b1-2edb-12c6-63e6c597a1de</v>
    <v>536870912</v>
    <v>1</v>
    <v>50</v>
    <v>36</v>
    <v>United States</v>
    <v>12</v>
    <v>13</v>
    <v>Map</v>
    <v>14</v>
    <v>51</v>
    <v>US</v>
    <v>107</v>
    <v>108</v>
    <v>109</v>
    <v>110</v>
    <v>111</v>
    <v>112</v>
    <v>113</v>
    <v>114</v>
    <v>115</v>
    <v>USD</v>
    <v>The United States of America, commonly known as the United States or America, is a country primarily located in North America. It is a federation of 50 states, a federal capital district, and 326 Indian reservations. Outside the union of states, ...</v>
    <v>116</v>
    <v>117</v>
    <v>118</v>
    <v>119</v>
    <v>120</v>
    <v>121</v>
    <v>122</v>
    <v>123</v>
    <v>124</v>
    <v>125</v>
    <v>126</v>
    <v>131</v>
    <v>132</v>
    <v>133</v>
    <v>134</v>
    <v>135</v>
    <v>136</v>
    <v>United States</v>
    <v>The Star-Spangled Banner</v>
    <v>137</v>
    <v>the United States of America</v>
    <v>138</v>
    <v>139</v>
    <v>140</v>
    <v>141</v>
    <v>142</v>
    <v>143</v>
    <v>144</v>
    <v>145</v>
    <v>146</v>
    <v>147</v>
    <v>148</v>
    <v>204</v>
    <v>205</v>
    <v>206</v>
    <v>207</v>
    <v>208</v>
    <v>United States</v>
    <v>209</v>
    <v>mdp/vdpid/244</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52">
    <spb s="0">
      <v>0</v>
      <v>Name</v>
      <v>LearnMoreOnLink</v>
    </spb>
    <spb s="1">
      <v>0</v>
      <v>0</v>
      <v>0</v>
    </spb>
    <spb s="2">
      <v>1</v>
      <v>1</v>
      <v>1</v>
      <v>1</v>
    </spb>
    <spb s="3">
      <v>1</v>
      <v>2</v>
      <v>2</v>
      <v>1</v>
      <v>3</v>
      <v>1</v>
      <v>1</v>
      <v>1</v>
      <v>4</v>
      <v>4</v>
      <v>5</v>
      <v>6</v>
      <v>1</v>
      <v>1</v>
      <v>1</v>
      <v>4</v>
      <v>7</v>
      <v>8</v>
      <v>9</v>
      <v>4</v>
    </spb>
    <spb s="4">
      <v>Delayed 5 minutes</v>
      <v>from previous close</v>
      <v>from previous close</v>
      <v>GMT</v>
    </spb>
    <spb s="3">
      <v>10</v>
      <v>2</v>
      <v>2</v>
      <v>10</v>
      <v>3</v>
      <v>10</v>
      <v>10</v>
      <v>10</v>
      <v>4</v>
      <v>4</v>
      <v>5</v>
      <v>11</v>
      <v>10</v>
      <v>10</v>
      <v>10</v>
      <v>4</v>
      <v>7</v>
      <v>8</v>
      <v>9</v>
      <v>4</v>
    </spb>
    <spb s="4">
      <v>Delayed 15 minutes</v>
      <v>from previous close</v>
      <v>from previous close</v>
      <v>GMT</v>
    </spb>
    <spb s="3">
      <v>12</v>
      <v>2</v>
      <v>2</v>
      <v>12</v>
      <v>3</v>
      <v>12</v>
      <v>12</v>
      <v>12</v>
      <v>4</v>
      <v>4</v>
      <v>5</v>
      <v>13</v>
      <v>12</v>
      <v>12</v>
      <v>12</v>
      <v>4</v>
      <v>7</v>
      <v>8</v>
      <v>9</v>
      <v>4</v>
    </spb>
    <spb s="5">
      <v>Delayed 15 minutes</v>
      <v>from previous close</v>
      <v>from previous close</v>
      <v>Source: Nasdaq</v>
      <v>GMT</v>
    </spb>
    <spb s="6">
      <v xml:space="preserve">Wikipedia	</v>
      <v xml:space="preserve">CC BY-SA 3.0	</v>
      <v xml:space="preserve">https://en.wikipedia.org/wiki/London	</v>
      <v xml:space="preserve">https://creativecommons.org/licenses/by-sa/3.0	</v>
    </spb>
    <spb s="7">
      <v>9</v>
      <v>9</v>
      <v>9</v>
      <v>9</v>
      <v>9</v>
      <v>9</v>
      <v>9</v>
      <v>9</v>
      <v>9</v>
      <v>9</v>
    </spb>
    <spb s="0">
      <v>1</v>
      <v>Name</v>
      <v>LearnMoreOnLink</v>
    </spb>
    <spb s="8">
      <v>1</v>
      <v>1</v>
      <v>1</v>
    </spb>
    <spb s="9">
      <v>3</v>
      <v>14</v>
    </spb>
    <spb s="10">
      <v>https://www.bing.com</v>
      <v>https://www.bing.com/th?id=Ga%5Cbing_yt.png&amp;w=100&amp;h=40&amp;c=0&amp;pid=0.1</v>
      <v>Powered by Bing</v>
    </spb>
    <spb s="11">
      <v>square km</v>
      <v>2021</v>
    </spb>
    <spb s="12">
      <v>4</v>
    </spb>
    <spb s="12">
      <v>15</v>
    </spb>
    <spb s="6">
      <v xml:space="preserve">data.worldbank.org	</v>
      <v xml:space="preserve">	</v>
      <v xml:space="preserve">http://data.worldbank.org/indicator/FP.CPI.TOTL	</v>
      <v xml:space="preserve">	</v>
    </spb>
    <spb s="6">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6">
      <v xml:space="preserve">Wikipedia	</v>
      <v xml:space="preserve">CC BY-SA 3.0	</v>
      <v xml:space="preserve">https://en.wikipedia.org/wiki/India	</v>
      <v xml:space="preserve">https://creativecommons.org/licenses/by-sa/3.0	</v>
    </spb>
    <spb s="6">
      <v xml:space="preserve">data.worldbank.org	</v>
      <v xml:space="preserve">	</v>
      <v xml:space="preserve">http://data.worldbank.org/indicator/SP.DYN.CBRT.IN	</v>
      <v xml:space="preserve">	</v>
    </spb>
    <spb s="6">
      <v xml:space="preserve">Wikipedia	</v>
      <v xml:space="preserve">CC-BY-SA	</v>
      <v xml:space="preserve">http://en.wikipedia.org/wiki/India	</v>
      <v xml:space="preserve">http://creativecommons.org/licenses/by-sa/3.0/	</v>
    </spb>
    <spb s="6">
      <v xml:space="preserve">Cia	</v>
      <v xml:space="preserve">	</v>
      <v xml:space="preserve">https://www.cia.gov/library/publications/the-world-factbook/geos/in.html?Transportation	</v>
      <v xml:space="preserve">	</v>
    </spb>
    <spb s="6">
      <v xml:space="preserve">data.worldbank.org	</v>
      <v xml:space="preserve">	</v>
      <v xml:space="preserve">http://data.worldbank.org/indicator/SP.DYN.TFRT.IN	</v>
      <v xml:space="preserve">	</v>
    </spb>
    <spb s="6">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6">
      <v xml:space="preserve">data.worldbank.org	</v>
      <v xml:space="preserve">	</v>
      <v xml:space="preserve">http://data.worldbank.org/indicator/SP.DYN.LE00.IN	</v>
      <v xml:space="preserve">	</v>
    </spb>
    <spb s="6">
      <v xml:space="preserve">data.worldbank.org	</v>
      <v xml:space="preserve">	</v>
      <v xml:space="preserve">http://data.worldbank.org/indicator/SP.DYN.IMRT.IN	</v>
      <v xml:space="preserve">	</v>
    </spb>
    <spb s="6">
      <v xml:space="preserve">data.worldbank.org	</v>
      <v xml:space="preserve">	</v>
      <v xml:space="preserve">http://data.worldbank.org/indicator/SP.URB.TOTL	</v>
      <v xml:space="preserve">	</v>
    </spb>
    <spb s="6">
      <v xml:space="preserve">data.worldbank.org	</v>
      <v xml:space="preserve">	</v>
      <v xml:space="preserve">http://data.worldbank.org/indicator/MS.MIL.TOTL.P1	</v>
      <v xml:space="preserve">	</v>
    </spb>
    <spb s="6">
      <v xml:space="preserve">data.worldbank.org	</v>
      <v xml:space="preserve">	</v>
      <v xml:space="preserve">http://data.worldbank.org/indicator/SH.MED.PHYS.ZS	</v>
      <v xml:space="preserve">	</v>
    </spb>
    <spb s="6">
      <v xml:space="preserve">data.worldbank.org	</v>
      <v xml:space="preserve">	</v>
      <v xml:space="preserve">http://data.worldbank.org/indicator/EN.ATM.CO2E.KT	</v>
      <v xml:space="preserve">	</v>
    </spb>
    <spb s="6">
      <v xml:space="preserve">data.worldbank.org	</v>
      <v xml:space="preserve">	</v>
      <v xml:space="preserve">http://data.worldbank.org/indicator/SH.STA.MMRT	</v>
      <v xml:space="preserve">	</v>
    </spb>
    <spb s="6">
      <v xml:space="preserve">data.worldbank.org	</v>
      <v xml:space="preserve">	</v>
      <v xml:space="preserve">http://data.worldbank.org/indicator/EG.USE.ELEC.KH.PC	</v>
      <v xml:space="preserve">	</v>
    </spb>
    <spb s="6">
      <v xml:space="preserve">data.worldbank.org	</v>
      <v xml:space="preserve">	</v>
      <v xml:space="preserve">http://data.worldbank.org/indicator/SL.TLF.CACT.ZS	</v>
      <v xml:space="preserve">	</v>
    </spb>
    <spb s="13">
      <v>18</v>
      <v>19</v>
      <v>20</v>
      <v>20</v>
      <v>21</v>
      <v>20</v>
      <v>20</v>
      <v>20</v>
      <v>22</v>
      <v>20</v>
      <v>20</v>
      <v>22</v>
      <v>20</v>
      <v>20</v>
      <v>23</v>
      <v>24</v>
      <v>25</v>
      <v>23</v>
      <v>26</v>
      <v>20</v>
      <v>23</v>
      <v>27</v>
      <v>28</v>
      <v>29</v>
      <v>23</v>
      <v>23</v>
      <v>20</v>
      <v>23</v>
      <v>30</v>
      <v>31</v>
      <v>32</v>
      <v>33</v>
      <v>23</v>
      <v>25</v>
      <v>23</v>
      <v>23</v>
      <v>23</v>
      <v>23</v>
      <v>23</v>
      <v>23</v>
      <v>23</v>
      <v>23</v>
      <v>23</v>
      <v>23</v>
      <v>34</v>
    </spb>
    <spb s="0">
      <v>2</v>
      <v>Name</v>
      <v>LearnMoreOnLink</v>
    </spb>
    <spb s="14">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12">
      <v>16</v>
    </spb>
    <spb s="12">
      <v>9</v>
    </spb>
    <spb s="12">
      <v>8</v>
    </spb>
    <spb s="12">
      <v>2</v>
    </spb>
    <spb s="12">
      <v>17</v>
    </spb>
    <spb s="12">
      <v>12</v>
    </spb>
    <spb s="12">
      <v>13</v>
    </spb>
    <spb s="12">
      <v>5</v>
    </spb>
    <spb s="6">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6">
      <v xml:space="preserve">Wikipedia	</v>
      <v xml:space="preserve">CC BY-SA 3.0	</v>
      <v xml:space="preserve">https://en.wikipedia.org/wiki/United_States	</v>
      <v xml:space="preserve">https://creativecommons.org/licenses/by-sa/3.0	</v>
    </spb>
    <spb s="6">
      <v xml:space="preserve">Wikipedia	</v>
      <v xml:space="preserve">CC-BY-SA	</v>
      <v xml:space="preserve">http://en.wikipedia.org/wiki/United_States	</v>
      <v xml:space="preserve">http://creativecommons.org/licenses/by-sa/3.0/	</v>
    </spb>
    <spb s="6">
      <v xml:space="preserve">US Census	</v>
      <v xml:space="preserve">	</v>
      <v xml:space="preserve">https://www.census.gov/popest/data/state/asrh/2014/files/SC-EST2014-AGESEX-CIV.csv	</v>
      <v xml:space="preserve">	</v>
    </spb>
    <spb s="15">
      <v>18</v>
      <v>46</v>
      <v>47</v>
      <v>47</v>
      <v>21</v>
      <v>47</v>
      <v>47</v>
      <v>47</v>
      <v>48</v>
      <v>47</v>
      <v>47</v>
      <v>48</v>
      <v>47</v>
      <v>47</v>
      <v>24</v>
      <v>46</v>
      <v>49</v>
      <v>26</v>
      <v>47</v>
      <v>49</v>
      <v>27</v>
      <v>28</v>
      <v>29</v>
      <v>49</v>
      <v>47</v>
      <v>49</v>
      <v>30</v>
      <v>31</v>
      <v>32</v>
      <v>33</v>
      <v>49</v>
      <v>46</v>
      <v>49</v>
      <v>49</v>
      <v>49</v>
      <v>49</v>
      <v>49</v>
      <v>49</v>
      <v>49</v>
      <v>49</v>
      <v>49</v>
      <v>49</v>
      <v>34</v>
    </spb>
    <spb s="14">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Data>
</supportingPropertyBags>
</file>

<file path=xl/richData/rdsupportingpropertybagstructure.xml><?xml version="1.0" encoding="utf-8"?>
<spbStructures xmlns="http://schemas.microsoft.com/office/spreadsheetml/2017/richdata2" count="1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Price" t="s"/>
    <k n="Change" t="s"/>
    <k n="Change (%)" t="s"/>
    <k n="ExchangeID" t="s"/>
    <k n="Last trade time" t="s"/>
  </s>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UniqueName" t="spb"/>
    <k n="VDPID/VSID" t="spb"/>
    <k n="LearnMoreOnLink" t="spb"/>
  </s>
  <s>
    <k n="Name" t="i"/>
    <k n="Image"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1">
      <rpv i="0">_([$€-x-euro2] * #,##0.00_);_([$€-x-euro2] * (#,##0.00);_([$€-x-euro2] * "-"??_);_(@_)</rpv>
    </rSty>
    <rSty dxfid="1">
      <rpv i="0">_([$€-x-euro2] * #,##0_);_([$€-x-euro2] * (#,##0);_([$€-x-euro2] * "-"_);_(@_)</rpv>
    </rSty>
    <rSty dxfid="1">
      <rpv i="0">_([$$-en-US]* #,##0.00_);_([$$-en-US]* (#,##0.00);_([$$-en-US]* "-"??_);_(@_)</rpv>
    </rSty>
    <rSty dxfid="1">
      <rpv i="0">_([$$-en-US]* #,##0_);_([$$-en-US]* (#,##0);_([$$-en-US]* "-"_);_(@_)</rpv>
    </rSty>
    <rSty>
      <rpv i="2">1</rpv>
    </rSty>
    <rSty dxfid="1">
      <rpv i="0">0.0000</rpv>
    </rSty>
    <rSty dxfid="3">
      <rpv i="0">0.0%</rpv>
    </rSty>
    <rSty dxfid="1">
      <rpv i="0">0.0</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DBB58B-260B-4690-AD3B-8B616C5FF7B6}" name="Table_3" displayName="Table_3" ref="A1:N83" tableType="queryTable" totalsRowShown="0">
  <autoFilter ref="A1:N83" xr:uid="{18DBB58B-260B-4690-AD3B-8B616C5FF7B6}"/>
  <tableColumns count="14">
    <tableColumn id="1" xr3:uid="{8E586F23-DB65-4DFE-850F-7227ACBC877D}" uniqueName="1" name="City[a]" queryTableFieldId="1" dataDxfId="12"/>
    <tableColumn id="2" xr3:uid="{944860BF-9CE0-4F45-9520-F680E327D966}" uniqueName="2" name="Country" queryTableFieldId="2" dataDxfId="11"/>
    <tableColumn id="3" xr3:uid="{3E7EDAEC-37EF-4690-A006-AF1DE5973C3C}" uniqueName="3" name="UN 2018 population estimates[b]" queryTableFieldId="3"/>
    <tableColumn id="4" xr3:uid="{9F085B12-6321-4D90-AEAB-E8B93D8F7A0A}" uniqueName="4" name="City proper[c]" queryTableFieldId="4" dataDxfId="10"/>
    <tableColumn id="5" xr3:uid="{E468CE06-E751-4F0F-A0CE-9BBA7B527C1F}" uniqueName="5" name="City proper[c]_1" queryTableFieldId="5" dataDxfId="9"/>
    <tableColumn id="6" xr3:uid="{FDF124F6-132F-4D6C-9E55-B4FC594305FF}" uniqueName="6" name="City proper[c]_2" queryTableFieldId="6" dataDxfId="8"/>
    <tableColumn id="7" xr3:uid="{6E2162DF-4A7E-4290-B0DD-8DF6F49EC4AC}" uniqueName="7" name="City proper[c]_3" queryTableFieldId="7" dataDxfId="7"/>
    <tableColumn id="8" xr3:uid="{42E895D1-6D07-43B7-9276-074FEA94A7F8}" uniqueName="8" name="Urban area[8]" queryTableFieldId="8" dataDxfId="6"/>
    <tableColumn id="9" xr3:uid="{A54D6AE1-B60D-4B89-B8BA-BC8E584673AF}" uniqueName="9" name="Urban area[8]_4" queryTableFieldId="9" dataDxfId="5"/>
    <tableColumn id="10" xr3:uid="{CE810D6E-D7F5-46E6-B9AF-756783AA5E16}" uniqueName="10" name="Urban area[8]_5" queryTableFieldId="10" dataDxfId="4"/>
    <tableColumn id="11" xr3:uid="{F95CD45A-3C87-445E-BA9A-48C9B459F365}" uniqueName="11" name="Metropolitan area[d]" queryTableFieldId="11" dataDxfId="3"/>
    <tableColumn id="12" xr3:uid="{25963B21-FD1E-4BFE-AF86-DE7168AB8B3C}" uniqueName="12" name="Metropolitan area[d]_6" queryTableFieldId="12" dataDxfId="2"/>
    <tableColumn id="13" xr3:uid="{F0710586-6BFC-4690-8E0C-0BFE60BFB9E2}" uniqueName="13" name="Metropolitan area[d]_7" queryTableFieldId="13" dataDxfId="1"/>
    <tableColumn id="14" xr3:uid="{481C0FDF-0A0C-4943-B517-E26E65EF3054}" uniqueName="14" name="filter by"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5A2F34FD-63DE-3CAA-B8CC-4DFD94C99C9F}">
  <we:reference id="wa104104476" version="1.6.0.0" store="en-US" storeType="OMEX"/>
  <we:alternateReferences>
    <we:reference id="WA104104476" version="1.6.0.0" store="" storeType="OMEX"/>
  </we:alternateReferences>
  <we:properties>
    <we:property name="sku" value="&quot;peoplebar-giant&quot;"/>
    <we:property name="theme" value="&quot;giant-redwhiteblack&quot;"/>
    <we:property name="shape" value="&quot;muscle-people&quot;"/>
    <we:property name="layout-element-title" value="&quot;App Users\n&quot;"/>
  </we:properties>
  <we:bindings>
    <we:binding id="dataVizBinding" type="matrix" appref="{4E3D77C9-F781-4D25-8BF7-C17F14CEAD94}"/>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A27C-F746-4C40-BC34-AD6CA1641DEB}">
  <sheetPr codeName="Sheet1"/>
  <dimension ref="A1:Q50"/>
  <sheetViews>
    <sheetView tabSelected="1" topLeftCell="A10" zoomScale="77" workbookViewId="0">
      <selection activeCell="E18" sqref="E18:E23"/>
    </sheetView>
  </sheetViews>
  <sheetFormatPr defaultRowHeight="14.5" x14ac:dyDescent="0.35"/>
  <sheetData>
    <row r="1" spans="1:5" x14ac:dyDescent="0.35">
      <c r="A1" t="s">
        <v>0</v>
      </c>
      <c r="B1" t="s">
        <v>1</v>
      </c>
      <c r="C1" t="s">
        <v>2</v>
      </c>
      <c r="D1" t="s">
        <v>3</v>
      </c>
      <c r="E1" t="s">
        <v>4</v>
      </c>
    </row>
    <row r="2" spans="1:5" x14ac:dyDescent="0.35">
      <c r="A2">
        <v>1000</v>
      </c>
      <c r="B2">
        <v>101</v>
      </c>
      <c r="C2">
        <v>102</v>
      </c>
      <c r="D2">
        <v>103</v>
      </c>
      <c r="E2">
        <v>104</v>
      </c>
    </row>
    <row r="3" spans="1:5" x14ac:dyDescent="0.35">
      <c r="A3">
        <v>101</v>
      </c>
      <c r="B3">
        <v>102</v>
      </c>
      <c r="C3">
        <v>103</v>
      </c>
      <c r="D3">
        <v>104</v>
      </c>
      <c r="E3">
        <v>105</v>
      </c>
    </row>
    <row r="4" spans="1:5" x14ac:dyDescent="0.35">
      <c r="A4">
        <v>102</v>
      </c>
      <c r="B4">
        <v>103</v>
      </c>
      <c r="C4">
        <v>104</v>
      </c>
      <c r="D4">
        <v>105</v>
      </c>
      <c r="E4">
        <v>106</v>
      </c>
    </row>
    <row r="5" spans="1:5" x14ac:dyDescent="0.35">
      <c r="A5">
        <v>103</v>
      </c>
      <c r="B5">
        <v>104</v>
      </c>
      <c r="C5">
        <v>105</v>
      </c>
      <c r="D5">
        <v>106</v>
      </c>
      <c r="E5">
        <v>107</v>
      </c>
    </row>
    <row r="6" spans="1:5" x14ac:dyDescent="0.35">
      <c r="A6">
        <v>104</v>
      </c>
      <c r="B6">
        <v>105</v>
      </c>
      <c r="C6">
        <v>106</v>
      </c>
      <c r="D6">
        <v>107</v>
      </c>
      <c r="E6">
        <v>108</v>
      </c>
    </row>
    <row r="7" spans="1:5" x14ac:dyDescent="0.35">
      <c r="A7">
        <v>105</v>
      </c>
      <c r="B7">
        <v>106</v>
      </c>
      <c r="C7">
        <v>107</v>
      </c>
      <c r="D7">
        <v>108</v>
      </c>
      <c r="E7">
        <v>109</v>
      </c>
    </row>
    <row r="9" spans="1:5" x14ac:dyDescent="0.35">
      <c r="A9" t="s">
        <v>6</v>
      </c>
    </row>
    <row r="10" spans="1:5" x14ac:dyDescent="0.35">
      <c r="A10" t="s">
        <v>5</v>
      </c>
    </row>
    <row r="12" spans="1:5" x14ac:dyDescent="0.35">
      <c r="A12" t="s">
        <v>760</v>
      </c>
      <c r="B12">
        <v>100</v>
      </c>
    </row>
    <row r="13" spans="1:5" x14ac:dyDescent="0.35">
      <c r="A13" t="s">
        <v>761</v>
      </c>
      <c r="B13">
        <v>170</v>
      </c>
    </row>
    <row r="14" spans="1:5" x14ac:dyDescent="0.35">
      <c r="A14" t="s">
        <v>762</v>
      </c>
      <c r="B14">
        <v>50</v>
      </c>
    </row>
    <row r="17" spans="1:17" x14ac:dyDescent="0.35">
      <c r="A17" t="s">
        <v>4</v>
      </c>
      <c r="B17" t="s">
        <v>3</v>
      </c>
      <c r="C17" t="s">
        <v>2</v>
      </c>
      <c r="D17" t="s">
        <v>1</v>
      </c>
      <c r="E17" t="s">
        <v>0</v>
      </c>
    </row>
    <row r="18" spans="1:17" x14ac:dyDescent="0.35">
      <c r="A18">
        <v>104</v>
      </c>
      <c r="B18">
        <v>103</v>
      </c>
      <c r="C18">
        <v>102</v>
      </c>
      <c r="D18">
        <v>101</v>
      </c>
      <c r="E18" s="4">
        <v>100</v>
      </c>
      <c r="F18" s="5">
        <v>1</v>
      </c>
    </row>
    <row r="19" spans="1:17" x14ac:dyDescent="0.35">
      <c r="A19">
        <v>105</v>
      </c>
      <c r="B19">
        <v>104</v>
      </c>
      <c r="C19">
        <v>103</v>
      </c>
      <c r="D19">
        <v>102</v>
      </c>
      <c r="E19" s="6">
        <v>101</v>
      </c>
    </row>
    <row r="20" spans="1:17" x14ac:dyDescent="0.35">
      <c r="A20">
        <v>106</v>
      </c>
      <c r="B20">
        <v>105</v>
      </c>
      <c r="C20">
        <v>104</v>
      </c>
      <c r="D20">
        <v>103</v>
      </c>
      <c r="E20" s="6">
        <v>102</v>
      </c>
    </row>
    <row r="21" spans="1:17" x14ac:dyDescent="0.35">
      <c r="A21">
        <v>107</v>
      </c>
      <c r="B21">
        <v>106</v>
      </c>
      <c r="C21">
        <v>105</v>
      </c>
      <c r="D21">
        <v>104</v>
      </c>
      <c r="E21" s="6">
        <v>103</v>
      </c>
    </row>
    <row r="22" spans="1:17" x14ac:dyDescent="0.35">
      <c r="A22">
        <v>108</v>
      </c>
      <c r="B22">
        <v>107</v>
      </c>
      <c r="C22">
        <v>106</v>
      </c>
      <c r="D22">
        <v>105</v>
      </c>
      <c r="E22" s="6">
        <v>104</v>
      </c>
    </row>
    <row r="23" spans="1:17" x14ac:dyDescent="0.35">
      <c r="A23">
        <v>109</v>
      </c>
      <c r="B23">
        <v>108</v>
      </c>
      <c r="C23">
        <v>107</v>
      </c>
      <c r="D23">
        <v>106</v>
      </c>
      <c r="E23" s="6">
        <v>105</v>
      </c>
      <c r="P23" s="2"/>
    </row>
    <row r="25" spans="1:17" x14ac:dyDescent="0.35">
      <c r="A25" t="s">
        <v>749</v>
      </c>
    </row>
    <row r="26" spans="1:17" x14ac:dyDescent="0.35">
      <c r="A26" t="s">
        <v>750</v>
      </c>
      <c r="L26" s="2" t="s">
        <v>768</v>
      </c>
      <c r="M26" s="2" t="s">
        <v>770</v>
      </c>
    </row>
    <row r="27" spans="1:17" x14ac:dyDescent="0.35">
      <c r="A27" t="s">
        <v>751</v>
      </c>
      <c r="L27" s="2" t="s">
        <v>769</v>
      </c>
      <c r="M27" t="s">
        <v>771</v>
      </c>
    </row>
    <row r="28" spans="1:17" x14ac:dyDescent="0.35">
      <c r="A28" t="s">
        <v>763</v>
      </c>
      <c r="L28" s="2" t="s">
        <v>772</v>
      </c>
      <c r="M28" s="2" t="s">
        <v>777</v>
      </c>
    </row>
    <row r="29" spans="1:17" x14ac:dyDescent="0.35">
      <c r="A29" t="s">
        <v>752</v>
      </c>
      <c r="L29" s="2" t="s">
        <v>773</v>
      </c>
      <c r="M29" s="2" t="s">
        <v>778</v>
      </c>
      <c r="Q29" s="2"/>
    </row>
    <row r="30" spans="1:17" x14ac:dyDescent="0.35">
      <c r="A30" t="s">
        <v>753</v>
      </c>
      <c r="J30">
        <v>700</v>
      </c>
      <c r="L30" s="2" t="s">
        <v>774</v>
      </c>
      <c r="M30" s="2" t="s">
        <v>779</v>
      </c>
    </row>
    <row r="31" spans="1:17" x14ac:dyDescent="0.35">
      <c r="A31" t="s">
        <v>754</v>
      </c>
      <c r="J31">
        <v>200</v>
      </c>
      <c r="L31" s="2" t="s">
        <v>775</v>
      </c>
      <c r="M31" s="2" t="s">
        <v>780</v>
      </c>
    </row>
    <row r="32" spans="1:17" x14ac:dyDescent="0.35">
      <c r="A32" t="s">
        <v>764</v>
      </c>
      <c r="J32">
        <f>SUM(J30:J31)</f>
        <v>900</v>
      </c>
      <c r="L32" s="2" t="s">
        <v>776</v>
      </c>
      <c r="M32" t="s">
        <v>781</v>
      </c>
    </row>
    <row r="33" spans="1:15" x14ac:dyDescent="0.35">
      <c r="A33" t="s">
        <v>755</v>
      </c>
      <c r="O33" s="2"/>
    </row>
    <row r="34" spans="1:15" x14ac:dyDescent="0.35">
      <c r="A34" t="s">
        <v>756</v>
      </c>
    </row>
    <row r="35" spans="1:15" x14ac:dyDescent="0.35">
      <c r="A35" t="s">
        <v>765</v>
      </c>
    </row>
    <row r="36" spans="1:15" x14ac:dyDescent="0.35">
      <c r="A36" t="s">
        <v>766</v>
      </c>
    </row>
    <row r="37" spans="1:15" x14ac:dyDescent="0.35">
      <c r="A37" t="s">
        <v>784</v>
      </c>
    </row>
    <row r="38" spans="1:15" x14ac:dyDescent="0.35">
      <c r="A38" t="s">
        <v>757</v>
      </c>
    </row>
    <row r="39" spans="1:15" x14ac:dyDescent="0.35">
      <c r="A39" t="s">
        <v>758</v>
      </c>
    </row>
    <row r="40" spans="1:15" x14ac:dyDescent="0.35">
      <c r="A40" t="s">
        <v>759</v>
      </c>
    </row>
    <row r="41" spans="1:15" x14ac:dyDescent="0.35">
      <c r="A41" t="s">
        <v>767</v>
      </c>
    </row>
    <row r="42" spans="1:15" x14ac:dyDescent="0.35">
      <c r="A42" t="s">
        <v>785</v>
      </c>
    </row>
    <row r="43" spans="1:15" x14ac:dyDescent="0.35">
      <c r="A43" t="s">
        <v>786</v>
      </c>
    </row>
    <row r="44" spans="1:15" x14ac:dyDescent="0.35">
      <c r="A44" t="s">
        <v>787</v>
      </c>
    </row>
    <row r="45" spans="1:15" x14ac:dyDescent="0.35">
      <c r="A45" t="s">
        <v>788</v>
      </c>
    </row>
    <row r="46" spans="1:15" x14ac:dyDescent="0.35">
      <c r="A46" t="s">
        <v>789</v>
      </c>
    </row>
    <row r="47" spans="1:15" x14ac:dyDescent="0.35">
      <c r="A47" t="s">
        <v>790</v>
      </c>
    </row>
    <row r="48" spans="1:15" x14ac:dyDescent="0.35">
      <c r="A48" t="s">
        <v>791</v>
      </c>
    </row>
    <row r="49" spans="1:1" x14ac:dyDescent="0.35">
      <c r="A49" t="s">
        <v>792</v>
      </c>
    </row>
    <row r="50" spans="1:1" x14ac:dyDescent="0.35">
      <c r="A50" t="s">
        <v>793</v>
      </c>
    </row>
  </sheetData>
  <sortState xmlns:xlrd2="http://schemas.microsoft.com/office/spreadsheetml/2017/richdata2" columnSort="1" ref="A17:E23">
    <sortCondition descending="1" ref="A17:E17"/>
  </sortState>
  <dataConsolidate topLabels="1" link="1">
    <dataRefs count="3">
      <dataRef ref="A1:E7" sheet="Sheet1"/>
      <dataRef ref="A1:E7" sheet="Sheet2"/>
      <dataRef ref="A1:E7" sheet="Sheet3"/>
    </dataRefs>
  </dataConsolidate>
  <phoneticPr fontId="1" type="noConversion"/>
  <pageMargins left="0.70866141732283472" right="0.70866141732283472" top="0.74803149606299213" bottom="0.74803149606299213" header="0.31496062992125984" footer="0.31496062992125984"/>
  <pageSetup paperSize="9" orientation="portrait" verticalDpi="0" r:id="rId1"/>
  <drawing r:id="rId2"/>
  <extLst>
    <ext xmlns:x15="http://schemas.microsoft.com/office/spreadsheetml/2010/11/main" uri="{F7C9EE02-42E1-4005-9D12-6889AFFD525C}">
      <x15:webExtensions xmlns:xm="http://schemas.microsoft.com/office/excel/2006/main">
        <x15:webExtension appRef="{4E3D77C9-F781-4D25-8BF7-C17F14CEAD94}">
          <xm:f>Sheet1!$A$12:$B$14</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2C26-DE03-43FE-BF09-CB64765C3ABC}">
  <sheetPr codeName="Sheet2"/>
  <dimension ref="A1:E22"/>
  <sheetViews>
    <sheetView workbookViewId="0">
      <selection activeCell="G14" sqref="G14"/>
    </sheetView>
  </sheetViews>
  <sheetFormatPr defaultRowHeight="14.5" x14ac:dyDescent="0.35"/>
  <cols>
    <col min="1" max="1" width="17.08984375" customWidth="1"/>
    <col min="2" max="2" width="45.26953125" customWidth="1"/>
    <col min="3" max="3" width="16.453125" customWidth="1"/>
  </cols>
  <sheetData>
    <row r="1" spans="1:5" x14ac:dyDescent="0.35">
      <c r="A1" t="s">
        <v>0</v>
      </c>
      <c r="B1" t="s">
        <v>1</v>
      </c>
      <c r="C1" t="s">
        <v>2</v>
      </c>
      <c r="D1" t="s">
        <v>3</v>
      </c>
      <c r="E1" t="s">
        <v>4</v>
      </c>
    </row>
    <row r="2" spans="1:5" x14ac:dyDescent="0.35">
      <c r="A2">
        <v>100</v>
      </c>
      <c r="B2">
        <v>101</v>
      </c>
      <c r="C2">
        <v>102</v>
      </c>
      <c r="D2">
        <v>103</v>
      </c>
      <c r="E2">
        <v>104</v>
      </c>
    </row>
    <row r="3" spans="1:5" x14ac:dyDescent="0.35">
      <c r="A3">
        <v>101</v>
      </c>
      <c r="B3">
        <v>102</v>
      </c>
      <c r="C3">
        <v>103</v>
      </c>
      <c r="D3">
        <v>104</v>
      </c>
      <c r="E3">
        <v>105</v>
      </c>
    </row>
    <row r="4" spans="1:5" x14ac:dyDescent="0.35">
      <c r="A4">
        <v>102</v>
      </c>
      <c r="B4">
        <v>103</v>
      </c>
      <c r="C4">
        <v>104</v>
      </c>
      <c r="D4">
        <v>105</v>
      </c>
      <c r="E4">
        <v>106</v>
      </c>
    </row>
    <row r="5" spans="1:5" x14ac:dyDescent="0.35">
      <c r="A5">
        <v>103</v>
      </c>
      <c r="B5">
        <v>104</v>
      </c>
      <c r="C5">
        <v>105</v>
      </c>
      <c r="D5">
        <v>106</v>
      </c>
      <c r="E5">
        <v>107</v>
      </c>
    </row>
    <row r="6" spans="1:5" x14ac:dyDescent="0.35">
      <c r="A6">
        <v>104</v>
      </c>
      <c r="B6">
        <v>105</v>
      </c>
      <c r="C6">
        <v>106</v>
      </c>
      <c r="D6">
        <v>107</v>
      </c>
      <c r="E6">
        <v>108</v>
      </c>
    </row>
    <row r="7" spans="1:5" x14ac:dyDescent="0.35">
      <c r="A7">
        <v>105</v>
      </c>
      <c r="B7">
        <v>106</v>
      </c>
      <c r="C7">
        <v>107</v>
      </c>
      <c r="D7">
        <v>108</v>
      </c>
      <c r="E7">
        <v>109</v>
      </c>
    </row>
    <row r="9" spans="1:5" x14ac:dyDescent="0.35">
      <c r="A9" s="1" t="s">
        <v>7</v>
      </c>
      <c r="B9" s="1" t="s">
        <v>8</v>
      </c>
    </row>
    <row r="10" spans="1:5" x14ac:dyDescent="0.35">
      <c r="A10" t="s">
        <v>9</v>
      </c>
      <c r="B10" t="e" vm="1">
        <v>#VALUE!</v>
      </c>
    </row>
    <row r="11" spans="1:5" x14ac:dyDescent="0.35">
      <c r="A11" t="s">
        <v>10</v>
      </c>
      <c r="B11" t="e" vm="2">
        <v>#VALUE!</v>
      </c>
    </row>
    <row r="12" spans="1:5" x14ac:dyDescent="0.35">
      <c r="A12" t="s">
        <v>11</v>
      </c>
      <c r="B12" t="e" vm="3">
        <v>#VALUE!</v>
      </c>
    </row>
    <row r="15" spans="1:5" x14ac:dyDescent="0.35">
      <c r="A15" t="e" vm="4">
        <v>#VALUE!</v>
      </c>
      <c r="B15" t="str" cm="1">
        <f t="array" ref="B15">_FV(A15,"Time zone(s)",TRUE)</f>
        <v>Greenwich Mean Time</v>
      </c>
      <c r="C15" cm="1" vm="5">
        <f t="array" ref="C15">_FV(A15,"Population")</f>
        <v>8799728</v>
      </c>
    </row>
    <row r="16" spans="1:5" x14ac:dyDescent="0.35">
      <c r="A16" t="e" vm="6">
        <v>#VALUE!</v>
      </c>
      <c r="B16" t="str" cm="1">
        <f t="array" ref="B16">_FV(A16,"Time zone(s)",TRUE)</f>
        <v>Indian Standard Time</v>
      </c>
      <c r="C16" cm="1" vm="7">
        <f t="array" ref="C16">_FV(A16,"Population")</f>
        <v>1417173173</v>
      </c>
    </row>
    <row r="17" spans="1:3" x14ac:dyDescent="0.35">
      <c r="A17" t="e" vm="8">
        <v>#VALUE!</v>
      </c>
      <c r="B17" t="str" cm="1">
        <f t="array" ref="B17:B22">_FV(A17,"Time zone(s)",TRUE)</f>
        <v>Samoa Time Zone</v>
      </c>
      <c r="C17" cm="1" vm="9">
        <f t="array" ref="C17">_FV(A17,"Population")</f>
        <v>331893745</v>
      </c>
    </row>
    <row r="18" spans="1:3" x14ac:dyDescent="0.35">
      <c r="B18" t="str">
        <v>Atlantic Time Zone</v>
      </c>
    </row>
    <row r="19" spans="1:3" x14ac:dyDescent="0.35">
      <c r="B19" t="str">
        <v>Central Time Zone</v>
      </c>
    </row>
    <row r="20" spans="1:3" x14ac:dyDescent="0.35">
      <c r="B20" t="str">
        <v>Alaska Time Zone</v>
      </c>
    </row>
    <row r="21" spans="1:3" x14ac:dyDescent="0.35">
      <c r="B21" t="str">
        <v>Mountain Time Zone</v>
      </c>
    </row>
    <row r="22" spans="1:3" x14ac:dyDescent="0.35">
      <c r="B22" t="str">
        <v>Chamorro Time Zone</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9BF2-21BA-4DF5-A3BE-CDC833A44BB3}">
  <sheetPr codeName="Sheet3"/>
  <dimension ref="A1:AC83"/>
  <sheetViews>
    <sheetView topLeftCell="A10" zoomScale="54" workbookViewId="0">
      <selection activeCell="N3" sqref="N3"/>
    </sheetView>
  </sheetViews>
  <sheetFormatPr defaultRowHeight="14.5" x14ac:dyDescent="0.35"/>
  <cols>
    <col min="1" max="1" width="14.1796875" bestFit="1" customWidth="1"/>
    <col min="2" max="2" width="13.54296875" bestFit="1" customWidth="1"/>
    <col min="3" max="3" width="30.81640625" bestFit="1" customWidth="1"/>
    <col min="4" max="4" width="24.26953125" bestFit="1" customWidth="1"/>
    <col min="5" max="7" width="16.453125" bestFit="1" customWidth="1"/>
    <col min="8" max="8" width="14.453125" bestFit="1" customWidth="1"/>
    <col min="9" max="10" width="16.36328125" bestFit="1" customWidth="1"/>
    <col min="11" max="11" width="32.54296875" bestFit="1" customWidth="1"/>
    <col min="12" max="13" width="22.08984375" bestFit="1" customWidth="1"/>
  </cols>
  <sheetData>
    <row r="1" spans="1:29" x14ac:dyDescent="0.35">
      <c r="A1" t="s">
        <v>14</v>
      </c>
      <c r="B1" t="s">
        <v>15</v>
      </c>
      <c r="C1" t="s">
        <v>16</v>
      </c>
      <c r="D1" t="s">
        <v>17</v>
      </c>
      <c r="E1" t="s">
        <v>18</v>
      </c>
      <c r="F1" t="s">
        <v>19</v>
      </c>
      <c r="G1" t="s">
        <v>20</v>
      </c>
      <c r="H1" t="s">
        <v>21</v>
      </c>
      <c r="I1" t="s">
        <v>22</v>
      </c>
      <c r="J1" t="s">
        <v>23</v>
      </c>
      <c r="K1" t="s">
        <v>24</v>
      </c>
      <c r="L1" t="s">
        <v>25</v>
      </c>
      <c r="M1" t="s">
        <v>26</v>
      </c>
      <c r="N1" t="s">
        <v>782</v>
      </c>
    </row>
    <row r="2" spans="1:29" x14ac:dyDescent="0.35">
      <c r="D2" t="s">
        <v>27</v>
      </c>
      <c r="E2" t="s">
        <v>28</v>
      </c>
      <c r="F2" t="s">
        <v>29</v>
      </c>
      <c r="G2" t="s">
        <v>30</v>
      </c>
      <c r="H2" t="s">
        <v>28</v>
      </c>
      <c r="I2" t="s">
        <v>29</v>
      </c>
      <c r="J2" t="s">
        <v>30</v>
      </c>
      <c r="K2" t="s">
        <v>28</v>
      </c>
      <c r="L2" t="s">
        <v>29</v>
      </c>
      <c r="M2" t="s">
        <v>30</v>
      </c>
      <c r="N2" s="3" t="s">
        <v>783</v>
      </c>
    </row>
    <row r="3" spans="1:29" x14ac:dyDescent="0.35">
      <c r="A3" t="s">
        <v>31</v>
      </c>
      <c r="B3" t="s">
        <v>32</v>
      </c>
      <c r="C3">
        <v>37468000</v>
      </c>
      <c r="D3" t="s">
        <v>33</v>
      </c>
      <c r="E3" t="s">
        <v>34</v>
      </c>
      <c r="F3" t="s">
        <v>35</v>
      </c>
      <c r="G3" t="s">
        <v>36</v>
      </c>
      <c r="H3" t="s">
        <v>37</v>
      </c>
      <c r="I3" t="s">
        <v>38</v>
      </c>
      <c r="J3" t="s">
        <v>39</v>
      </c>
      <c r="K3" t="s">
        <v>40</v>
      </c>
      <c r="L3" t="s">
        <v>41</v>
      </c>
      <c r="M3" t="s">
        <v>42</v>
      </c>
      <c r="N3" s="3"/>
      <c r="P3" t="str" cm="1">
        <f t="array" ref="P3:AC21">_xlfn._xlws.FILTER(A3:N83,B3:B83=N2)</f>
        <v>Shanghai</v>
      </c>
      <c r="Q3" t="str">
        <v>China</v>
      </c>
      <c r="R3">
        <v>25582000</v>
      </c>
      <c r="S3" t="str">
        <v>Municipality</v>
      </c>
      <c r="T3" t="str">
        <v>24,870,895</v>
      </c>
      <c r="U3" t="str">
        <v>6,341</v>
      </c>
      <c r="V3" t="str">
        <v>3,922[17][18]</v>
      </c>
      <c r="W3" t="str">
        <v>24,073,000</v>
      </c>
      <c r="X3" t="str">
        <v>4,333</v>
      </c>
      <c r="Y3" t="str">
        <v>5,556[g]</v>
      </c>
      <c r="Z3" t="str">
        <v>—</v>
      </c>
      <c r="AA3" t="str">
        <v>—</v>
      </c>
      <c r="AB3" t="str">
        <v>—</v>
      </c>
      <c r="AC3">
        <v>0</v>
      </c>
    </row>
    <row r="4" spans="1:29" x14ac:dyDescent="0.35">
      <c r="A4" t="s">
        <v>43</v>
      </c>
      <c r="B4" t="s">
        <v>13</v>
      </c>
      <c r="C4">
        <v>28514000</v>
      </c>
      <c r="D4" t="s">
        <v>44</v>
      </c>
      <c r="E4" t="s">
        <v>45</v>
      </c>
      <c r="F4" t="s">
        <v>46</v>
      </c>
      <c r="G4" t="s">
        <v>47</v>
      </c>
      <c r="H4" t="s">
        <v>48</v>
      </c>
      <c r="I4" t="s">
        <v>49</v>
      </c>
      <c r="J4" t="s">
        <v>50</v>
      </c>
      <c r="K4" t="s">
        <v>51</v>
      </c>
      <c r="L4" t="s">
        <v>52</v>
      </c>
      <c r="M4" t="s">
        <v>53</v>
      </c>
      <c r="N4" s="3"/>
      <c r="P4" t="str">
        <v>Beijing</v>
      </c>
      <c r="Q4" t="str">
        <v>China</v>
      </c>
      <c r="R4">
        <v>19618000</v>
      </c>
      <c r="S4" t="str">
        <v>Municipality</v>
      </c>
      <c r="T4" t="str">
        <v>21,893,095</v>
      </c>
      <c r="U4" t="str">
        <v>16,411</v>
      </c>
      <c r="V4" t="str">
        <v>1,334[17][18]</v>
      </c>
      <c r="W4" t="str">
        <v>18,522,000</v>
      </c>
      <c r="X4" t="str">
        <v>4,284</v>
      </c>
      <c r="Y4" t="str">
        <v>4,324</v>
      </c>
      <c r="Z4" t="str">
        <v>—</v>
      </c>
      <c r="AA4" t="str">
        <v>—</v>
      </c>
      <c r="AB4" t="str">
        <v>—</v>
      </c>
      <c r="AC4">
        <v>0</v>
      </c>
    </row>
    <row r="5" spans="1:29" x14ac:dyDescent="0.35">
      <c r="A5" t="s">
        <v>54</v>
      </c>
      <c r="B5" t="s">
        <v>55</v>
      </c>
      <c r="C5">
        <v>25582000</v>
      </c>
      <c r="D5" t="s">
        <v>56</v>
      </c>
      <c r="E5" t="s">
        <v>57</v>
      </c>
      <c r="F5" t="s">
        <v>58</v>
      </c>
      <c r="G5" t="s">
        <v>59</v>
      </c>
      <c r="H5" t="s">
        <v>60</v>
      </c>
      <c r="I5" t="s">
        <v>61</v>
      </c>
      <c r="J5" t="s">
        <v>62</v>
      </c>
      <c r="K5" t="s">
        <v>63</v>
      </c>
      <c r="L5" t="s">
        <v>63</v>
      </c>
      <c r="M5" t="s">
        <v>63</v>
      </c>
      <c r="N5" s="3"/>
      <c r="P5" t="str">
        <v>Chongqing</v>
      </c>
      <c r="Q5" t="str">
        <v>China</v>
      </c>
      <c r="R5">
        <v>14838000</v>
      </c>
      <c r="S5" t="str">
        <v>Municipality</v>
      </c>
      <c r="T5" t="str">
        <v>32,054,159</v>
      </c>
      <c r="U5" t="str">
        <v>82,403</v>
      </c>
      <c r="V5" t="str">
        <v>389[39][18]</v>
      </c>
      <c r="W5" t="str">
        <v>12,135,000</v>
      </c>
      <c r="X5" t="str">
        <v>1,580</v>
      </c>
      <c r="Y5" t="str">
        <v>7,680</v>
      </c>
      <c r="Z5" t="str">
        <v>—</v>
      </c>
      <c r="AA5" t="str">
        <v>—</v>
      </c>
      <c r="AB5" t="str">
        <v>—</v>
      </c>
      <c r="AC5">
        <v>0</v>
      </c>
    </row>
    <row r="6" spans="1:29" x14ac:dyDescent="0.35">
      <c r="A6" t="s">
        <v>64</v>
      </c>
      <c r="B6" t="s">
        <v>65</v>
      </c>
      <c r="C6">
        <v>21650000</v>
      </c>
      <c r="D6" t="s">
        <v>56</v>
      </c>
      <c r="E6" t="s">
        <v>66</v>
      </c>
      <c r="F6" t="s">
        <v>67</v>
      </c>
      <c r="G6" t="s">
        <v>68</v>
      </c>
      <c r="H6" t="s">
        <v>69</v>
      </c>
      <c r="I6" t="s">
        <v>70</v>
      </c>
      <c r="J6" t="s">
        <v>71</v>
      </c>
      <c r="K6" t="s">
        <v>72</v>
      </c>
      <c r="L6" t="s">
        <v>73</v>
      </c>
      <c r="M6" t="s">
        <v>74</v>
      </c>
      <c r="N6" s="3"/>
      <c r="P6" t="str">
        <v>Tianjin</v>
      </c>
      <c r="Q6" t="str">
        <v>China</v>
      </c>
      <c r="R6">
        <v>13215000</v>
      </c>
      <c r="S6" t="str">
        <v>Municipality</v>
      </c>
      <c r="T6" t="str">
        <v>13,866,009</v>
      </c>
      <c r="U6" t="str">
        <v>11,920</v>
      </c>
      <c r="V6" t="str">
        <v>1,163[17][18]</v>
      </c>
      <c r="W6" t="str">
        <v>10,368,000</v>
      </c>
      <c r="X6" t="str">
        <v>2,813</v>
      </c>
      <c r="Y6" t="str">
        <v>3,686</v>
      </c>
      <c r="Z6" t="str">
        <v>—</v>
      </c>
      <c r="AA6" t="str">
        <v>—</v>
      </c>
      <c r="AB6" t="str">
        <v>—</v>
      </c>
      <c r="AC6">
        <v>0</v>
      </c>
    </row>
    <row r="7" spans="1:29" x14ac:dyDescent="0.35">
      <c r="A7" t="s">
        <v>75</v>
      </c>
      <c r="B7" t="s">
        <v>76</v>
      </c>
      <c r="C7">
        <v>21581000</v>
      </c>
      <c r="D7" t="s">
        <v>77</v>
      </c>
      <c r="E7" t="s">
        <v>78</v>
      </c>
      <c r="F7" t="s">
        <v>79</v>
      </c>
      <c r="G7" t="s">
        <v>80</v>
      </c>
      <c r="H7" t="s">
        <v>81</v>
      </c>
      <c r="I7" t="s">
        <v>82</v>
      </c>
      <c r="J7" t="s">
        <v>83</v>
      </c>
      <c r="K7" t="s">
        <v>84</v>
      </c>
      <c r="L7" t="s">
        <v>85</v>
      </c>
      <c r="M7" t="s">
        <v>86</v>
      </c>
      <c r="N7" s="3"/>
      <c r="P7" t="str">
        <v>Guangzhou</v>
      </c>
      <c r="Q7" t="str">
        <v>China</v>
      </c>
      <c r="R7">
        <v>12638000</v>
      </c>
      <c r="S7" t="str">
        <v>City (sub-provincial)</v>
      </c>
      <c r="T7" t="str">
        <v>18,676,605</v>
      </c>
      <c r="U7" t="str">
        <v>7,434</v>
      </c>
      <c r="V7" t="str">
        <v>2,512[17]</v>
      </c>
      <c r="W7" t="str">
        <v>26,940,000</v>
      </c>
      <c r="X7" t="str">
        <v>4,535</v>
      </c>
      <c r="Y7" t="str">
        <v>5,940[m]</v>
      </c>
      <c r="Z7" t="str">
        <v>—</v>
      </c>
      <c r="AA7" t="str">
        <v>—</v>
      </c>
      <c r="AB7" t="str">
        <v>—</v>
      </c>
      <c r="AC7">
        <v>0</v>
      </c>
    </row>
    <row r="8" spans="1:29" x14ac:dyDescent="0.35">
      <c r="A8" t="s">
        <v>87</v>
      </c>
      <c r="B8" t="s">
        <v>88</v>
      </c>
      <c r="C8">
        <v>20076000</v>
      </c>
      <c r="D8" t="s">
        <v>89</v>
      </c>
      <c r="E8" t="s">
        <v>90</v>
      </c>
      <c r="F8" t="s">
        <v>91</v>
      </c>
      <c r="G8" t="s">
        <v>92</v>
      </c>
      <c r="H8" t="s">
        <v>93</v>
      </c>
      <c r="I8" t="s">
        <v>94</v>
      </c>
      <c r="J8" t="s">
        <v>95</v>
      </c>
      <c r="K8" t="s">
        <v>63</v>
      </c>
      <c r="L8" t="s">
        <v>63</v>
      </c>
      <c r="M8" t="s">
        <v>63</v>
      </c>
      <c r="N8" s="3"/>
      <c r="P8" t="str">
        <v>Shenzhen</v>
      </c>
      <c r="Q8" t="str">
        <v>China</v>
      </c>
      <c r="R8">
        <v>11908000</v>
      </c>
      <c r="S8" t="str">
        <v>City (sub-provincial)</v>
      </c>
      <c r="T8" t="str">
        <v>17,494,398</v>
      </c>
      <c r="U8" t="str">
        <v>2,050</v>
      </c>
      <c r="V8" t="str">
        <v>8,534[17]</v>
      </c>
      <c r="W8" t="str">
        <v>17,619,000</v>
      </c>
      <c r="X8" t="str">
        <v>1,803</v>
      </c>
      <c r="Y8" t="str">
        <v>9,772</v>
      </c>
      <c r="Z8" t="str">
        <v>—</v>
      </c>
      <c r="AA8" t="str">
        <v>—</v>
      </c>
      <c r="AB8" t="str">
        <v>—</v>
      </c>
      <c r="AC8">
        <v>0</v>
      </c>
    </row>
    <row r="9" spans="1:29" x14ac:dyDescent="0.35">
      <c r="A9" t="s">
        <v>96</v>
      </c>
      <c r="B9" t="s">
        <v>13</v>
      </c>
      <c r="C9">
        <v>19980000</v>
      </c>
      <c r="D9" t="s">
        <v>44</v>
      </c>
      <c r="E9" t="s">
        <v>97</v>
      </c>
      <c r="F9" t="s">
        <v>98</v>
      </c>
      <c r="G9" t="s">
        <v>99</v>
      </c>
      <c r="H9" t="s">
        <v>100</v>
      </c>
      <c r="I9" t="s">
        <v>101</v>
      </c>
      <c r="J9" t="s">
        <v>102</v>
      </c>
      <c r="K9" t="s">
        <v>103</v>
      </c>
      <c r="L9" t="s">
        <v>104</v>
      </c>
      <c r="M9" t="s">
        <v>105</v>
      </c>
      <c r="N9" s="3"/>
      <c r="P9" t="str">
        <v>Chengdu</v>
      </c>
      <c r="Q9" t="str">
        <v>China</v>
      </c>
      <c r="R9">
        <v>8813000</v>
      </c>
      <c r="S9" t="str">
        <v>City (sub-provincial)</v>
      </c>
      <c r="T9" t="str">
        <v>20,937,757</v>
      </c>
      <c r="U9" t="str">
        <v>14,378</v>
      </c>
      <c r="V9" t="str">
        <v>1,456[17]</v>
      </c>
      <c r="W9" t="str">
        <v>20,937,757</v>
      </c>
      <c r="X9" t="str">
        <v>1,935</v>
      </c>
      <c r="Y9" t="str">
        <v>10,821</v>
      </c>
      <c r="Z9" t="str">
        <v>—</v>
      </c>
      <c r="AA9" t="str">
        <v>—</v>
      </c>
      <c r="AB9" t="str">
        <v>—</v>
      </c>
      <c r="AC9">
        <v>0</v>
      </c>
    </row>
    <row r="10" spans="1:29" x14ac:dyDescent="0.35">
      <c r="A10" t="s">
        <v>106</v>
      </c>
      <c r="B10" t="s">
        <v>55</v>
      </c>
      <c r="C10">
        <v>19618000</v>
      </c>
      <c r="D10" t="s">
        <v>56</v>
      </c>
      <c r="E10" t="s">
        <v>107</v>
      </c>
      <c r="F10" t="s">
        <v>108</v>
      </c>
      <c r="G10" t="s">
        <v>109</v>
      </c>
      <c r="H10" t="s">
        <v>110</v>
      </c>
      <c r="I10" t="s">
        <v>111</v>
      </c>
      <c r="J10" t="s">
        <v>112</v>
      </c>
      <c r="K10" t="s">
        <v>63</v>
      </c>
      <c r="L10" t="s">
        <v>63</v>
      </c>
      <c r="M10" t="s">
        <v>63</v>
      </c>
      <c r="N10" s="3"/>
      <c r="P10" t="str">
        <v>Nanjing</v>
      </c>
      <c r="Q10" t="str">
        <v>China</v>
      </c>
      <c r="R10">
        <v>8245000</v>
      </c>
      <c r="S10" t="str">
        <v>City (sub-provincial)</v>
      </c>
      <c r="T10" t="str">
        <v>9,314,685</v>
      </c>
      <c r="U10" t="str">
        <v>6,582</v>
      </c>
      <c r="V10" t="str">
        <v>1,415[17]</v>
      </c>
      <c r="W10" t="str">
        <v>8,422,000</v>
      </c>
      <c r="X10" t="str">
        <v>1,614</v>
      </c>
      <c r="Y10" t="str">
        <v>5,218</v>
      </c>
      <c r="Z10" t="str">
        <v>—</v>
      </c>
      <c r="AA10" t="str">
        <v>—</v>
      </c>
      <c r="AB10" t="str">
        <v>—</v>
      </c>
      <c r="AC10">
        <v>0</v>
      </c>
    </row>
    <row r="11" spans="1:29" x14ac:dyDescent="0.35">
      <c r="A11" t="s">
        <v>113</v>
      </c>
      <c r="B11" t="s">
        <v>114</v>
      </c>
      <c r="C11">
        <v>19578000</v>
      </c>
      <c r="D11" t="s">
        <v>115</v>
      </c>
      <c r="E11" t="s">
        <v>116</v>
      </c>
      <c r="F11" t="s">
        <v>117</v>
      </c>
      <c r="G11" t="s">
        <v>118</v>
      </c>
      <c r="H11" t="s">
        <v>119</v>
      </c>
      <c r="I11" t="s">
        <v>120</v>
      </c>
      <c r="J11" t="s">
        <v>121</v>
      </c>
      <c r="K11" t="s">
        <v>122</v>
      </c>
      <c r="L11" t="s">
        <v>63</v>
      </c>
      <c r="M11" t="s">
        <v>63</v>
      </c>
      <c r="N11" s="3"/>
      <c r="P11" t="str">
        <v>Wuhan</v>
      </c>
      <c r="Q11" t="str">
        <v>China</v>
      </c>
      <c r="R11">
        <v>8176000</v>
      </c>
      <c r="S11" t="str">
        <v>City (sub-provincial)</v>
      </c>
      <c r="T11" t="str">
        <v>12,447,718</v>
      </c>
      <c r="U11" t="str">
        <v>8,494</v>
      </c>
      <c r="V11" t="str">
        <v>1,465[17]</v>
      </c>
      <c r="W11" t="str">
        <v>12,447,718</v>
      </c>
      <c r="X11" t="str">
        <v>1,722</v>
      </c>
      <c r="Y11" t="str">
        <v>7,229</v>
      </c>
      <c r="Z11" t="str">
        <v>—</v>
      </c>
      <c r="AA11" t="str">
        <v>—</v>
      </c>
      <c r="AB11" t="str">
        <v>—</v>
      </c>
      <c r="AC11">
        <v>0</v>
      </c>
    </row>
    <row r="12" spans="1:29" x14ac:dyDescent="0.35">
      <c r="A12" t="s">
        <v>123</v>
      </c>
      <c r="B12" t="s">
        <v>32</v>
      </c>
      <c r="C12">
        <v>19281000</v>
      </c>
      <c r="D12" t="s">
        <v>124</v>
      </c>
      <c r="E12" t="s">
        <v>125</v>
      </c>
      <c r="F12" t="s">
        <v>126</v>
      </c>
      <c r="G12" t="s">
        <v>127</v>
      </c>
      <c r="H12" t="s">
        <v>128</v>
      </c>
      <c r="I12" t="s">
        <v>129</v>
      </c>
      <c r="J12" t="s">
        <v>130</v>
      </c>
      <c r="K12" t="s">
        <v>131</v>
      </c>
      <c r="L12" t="s">
        <v>132</v>
      </c>
      <c r="M12" t="s">
        <v>133</v>
      </c>
      <c r="N12" s="3"/>
      <c r="P12" t="str">
        <v>Xi'an</v>
      </c>
      <c r="Q12" t="str">
        <v>China</v>
      </c>
      <c r="R12">
        <v>7444000</v>
      </c>
      <c r="S12" t="str">
        <v>City (sub-provincial)</v>
      </c>
      <c r="T12" t="str">
        <v>12,183,280</v>
      </c>
      <c r="U12" t="str">
        <v>10,135</v>
      </c>
      <c r="V12" t="str">
        <v>1,202[17]</v>
      </c>
      <c r="W12" t="str">
        <v>12,328,000</v>
      </c>
      <c r="X12" t="str">
        <v>1,826</v>
      </c>
      <c r="Y12" t="str">
        <v>6,751</v>
      </c>
      <c r="Z12" t="str">
        <v>—</v>
      </c>
      <c r="AA12" t="str">
        <v>—</v>
      </c>
      <c r="AB12" t="str">
        <v>—</v>
      </c>
      <c r="AC12">
        <v>0</v>
      </c>
    </row>
    <row r="13" spans="1:29" x14ac:dyDescent="0.35">
      <c r="A13" t="s">
        <v>134</v>
      </c>
      <c r="B13" t="s">
        <v>135</v>
      </c>
      <c r="C13">
        <v>18819000</v>
      </c>
      <c r="D13" t="s">
        <v>136</v>
      </c>
      <c r="E13" t="s">
        <v>137</v>
      </c>
      <c r="F13" t="s">
        <v>138</v>
      </c>
      <c r="G13" t="s">
        <v>139</v>
      </c>
      <c r="H13" t="s">
        <v>140</v>
      </c>
      <c r="I13" t="s">
        <v>141</v>
      </c>
      <c r="J13" t="s">
        <v>142</v>
      </c>
      <c r="K13" t="s">
        <v>143</v>
      </c>
      <c r="L13" t="s">
        <v>141</v>
      </c>
      <c r="M13" t="s">
        <v>144</v>
      </c>
      <c r="N13" s="3"/>
      <c r="P13" t="str">
        <v>Dongguan</v>
      </c>
      <c r="Q13" t="str">
        <v>China</v>
      </c>
      <c r="R13">
        <v>7360000</v>
      </c>
      <c r="S13" t="str">
        <v>Prefecture-level city</v>
      </c>
      <c r="T13" t="str">
        <v>10,466,625</v>
      </c>
      <c r="U13" t="str">
        <v>2,465</v>
      </c>
      <c r="V13" t="str">
        <v>4,246[17]</v>
      </c>
      <c r="W13" t="str">
        <v>10,646,000</v>
      </c>
      <c r="X13" t="str">
        <v>1,759</v>
      </c>
      <c r="Y13" t="str">
        <v>6,052</v>
      </c>
      <c r="Z13" t="str">
        <v>—</v>
      </c>
      <c r="AA13" t="str">
        <v>—</v>
      </c>
      <c r="AB13" t="str">
        <v>—</v>
      </c>
      <c r="AC13">
        <v>0</v>
      </c>
    </row>
    <row r="14" spans="1:29" x14ac:dyDescent="0.35">
      <c r="A14" t="s">
        <v>145</v>
      </c>
      <c r="B14" t="s">
        <v>146</v>
      </c>
      <c r="C14">
        <v>16896000</v>
      </c>
      <c r="D14" t="s">
        <v>115</v>
      </c>
      <c r="E14" t="s">
        <v>147</v>
      </c>
      <c r="F14" t="s">
        <v>148</v>
      </c>
      <c r="G14" t="s">
        <v>149</v>
      </c>
      <c r="H14" t="s">
        <v>150</v>
      </c>
      <c r="I14" t="s">
        <v>151</v>
      </c>
      <c r="J14" t="s">
        <v>152</v>
      </c>
      <c r="K14" t="s">
        <v>63</v>
      </c>
      <c r="L14" t="s">
        <v>63</v>
      </c>
      <c r="M14" t="s">
        <v>63</v>
      </c>
      <c r="N14" s="3"/>
      <c r="P14" t="str">
        <v>Hangzhou</v>
      </c>
      <c r="Q14" t="str">
        <v>China</v>
      </c>
      <c r="R14">
        <v>7236000</v>
      </c>
      <c r="S14" t="str">
        <v>City (sub-provincial)</v>
      </c>
      <c r="T14" t="str">
        <v>11,936,010</v>
      </c>
      <c r="U14" t="str">
        <v>16,596</v>
      </c>
      <c r="V14" t="str">
        <v>719[17]</v>
      </c>
      <c r="W14" t="str">
        <v>9,523,000</v>
      </c>
      <c r="X14" t="str">
        <v>1,344</v>
      </c>
      <c r="Y14" t="str">
        <v>7,086</v>
      </c>
      <c r="Z14" t="str">
        <v>—</v>
      </c>
      <c r="AA14" t="str">
        <v>—</v>
      </c>
      <c r="AB14" t="str">
        <v>—</v>
      </c>
      <c r="AC14">
        <v>0</v>
      </c>
    </row>
    <row r="15" spans="1:29" x14ac:dyDescent="0.35">
      <c r="A15" t="s">
        <v>153</v>
      </c>
      <c r="B15" t="s">
        <v>154</v>
      </c>
      <c r="C15">
        <v>15400000</v>
      </c>
      <c r="D15" t="s">
        <v>155</v>
      </c>
      <c r="E15" t="s">
        <v>156</v>
      </c>
      <c r="F15" t="s">
        <v>157</v>
      </c>
      <c r="G15" t="s">
        <v>158</v>
      </c>
      <c r="H15" t="s">
        <v>159</v>
      </c>
      <c r="I15" t="s">
        <v>160</v>
      </c>
      <c r="J15" t="s">
        <v>161</v>
      </c>
      <c r="K15" t="s">
        <v>162</v>
      </c>
      <c r="L15" t="s">
        <v>163</v>
      </c>
      <c r="M15" t="s">
        <v>164</v>
      </c>
      <c r="N15" s="3"/>
      <c r="P15" t="str">
        <v>Foshan</v>
      </c>
      <c r="Q15" t="str">
        <v>China</v>
      </c>
      <c r="R15">
        <v>7236000</v>
      </c>
      <c r="S15" t="str">
        <v>Prefecture-level city</v>
      </c>
      <c r="T15" t="str">
        <v>9,498,863</v>
      </c>
      <c r="U15" t="str">
        <v>3,848</v>
      </c>
      <c r="V15" t="str">
        <v>2,469[17]</v>
      </c>
      <c r="W15" t="str">
        <v>—[o]</v>
      </c>
      <c r="X15" t="str">
        <v>—</v>
      </c>
      <c r="Y15" t="str">
        <v>—</v>
      </c>
      <c r="Z15" t="str">
        <v>—</v>
      </c>
      <c r="AA15" t="str">
        <v>—</v>
      </c>
      <c r="AB15" t="str">
        <v>—</v>
      </c>
      <c r="AC15">
        <v>0</v>
      </c>
    </row>
    <row r="16" spans="1:29" x14ac:dyDescent="0.35">
      <c r="A16" t="s">
        <v>165</v>
      </c>
      <c r="B16" t="s">
        <v>166</v>
      </c>
      <c r="C16">
        <v>14967000</v>
      </c>
      <c r="D16" t="s">
        <v>167</v>
      </c>
      <c r="E16" t="s">
        <v>168</v>
      </c>
      <c r="F16" t="s">
        <v>169</v>
      </c>
      <c r="G16" t="s">
        <v>170</v>
      </c>
      <c r="H16" t="s">
        <v>171</v>
      </c>
      <c r="I16" t="s">
        <v>172</v>
      </c>
      <c r="J16" t="s">
        <v>173</v>
      </c>
      <c r="K16" t="s">
        <v>174</v>
      </c>
      <c r="L16" t="s">
        <v>63</v>
      </c>
      <c r="M16" t="s">
        <v>63</v>
      </c>
      <c r="N16" s="3"/>
      <c r="P16" t="str">
        <v>Shenyang</v>
      </c>
      <c r="Q16" t="str">
        <v>China</v>
      </c>
      <c r="R16">
        <v>6921000</v>
      </c>
      <c r="S16" t="str">
        <v>City (sub-provincial)</v>
      </c>
      <c r="T16" t="str">
        <v>8,294,000</v>
      </c>
      <c r="U16" t="str">
        <v>12,980</v>
      </c>
      <c r="V16" t="str">
        <v>639[17]</v>
      </c>
      <c r="W16" t="str">
        <v>7,964,000</v>
      </c>
      <c r="X16" t="str">
        <v>1,551</v>
      </c>
      <c r="Y16" t="str">
        <v>5,135[p]</v>
      </c>
      <c r="Z16" t="str">
        <v>—</v>
      </c>
      <c r="AA16" t="str">
        <v>—</v>
      </c>
      <c r="AB16" t="str">
        <v>—</v>
      </c>
      <c r="AC16">
        <v>0</v>
      </c>
    </row>
    <row r="17" spans="1:29" x14ac:dyDescent="0.35">
      <c r="A17" t="s">
        <v>175</v>
      </c>
      <c r="B17" t="s">
        <v>55</v>
      </c>
      <c r="C17">
        <v>14838000</v>
      </c>
      <c r="D17" t="s">
        <v>56</v>
      </c>
      <c r="E17" t="s">
        <v>176</v>
      </c>
      <c r="F17" t="s">
        <v>177</v>
      </c>
      <c r="G17" t="s">
        <v>178</v>
      </c>
      <c r="H17" t="s">
        <v>179</v>
      </c>
      <c r="I17" t="s">
        <v>180</v>
      </c>
      <c r="J17" t="s">
        <v>181</v>
      </c>
      <c r="K17" t="s">
        <v>63</v>
      </c>
      <c r="L17" t="s">
        <v>63</v>
      </c>
      <c r="M17" t="s">
        <v>63</v>
      </c>
      <c r="N17" s="3"/>
      <c r="P17" t="str">
        <v>Suzhou</v>
      </c>
      <c r="Q17" t="str">
        <v>China</v>
      </c>
      <c r="R17">
        <v>6339000</v>
      </c>
      <c r="S17" t="str">
        <v>Prefecture-level city</v>
      </c>
      <c r="T17" t="str">
        <v>12,748,262</v>
      </c>
      <c r="U17" t="str">
        <v>8,488</v>
      </c>
      <c r="V17" t="str">
        <v>1,502[17]</v>
      </c>
      <c r="W17" t="str">
        <v>6,031,000</v>
      </c>
      <c r="X17" t="str">
        <v>1,386</v>
      </c>
      <c r="Y17" t="str">
        <v>4,351</v>
      </c>
      <c r="Z17" t="str">
        <v>—</v>
      </c>
      <c r="AA17" t="str">
        <v>—</v>
      </c>
      <c r="AB17" t="str">
        <v>—</v>
      </c>
      <c r="AC17">
        <v>0</v>
      </c>
    </row>
    <row r="18" spans="1:29" x14ac:dyDescent="0.35">
      <c r="A18" t="s">
        <v>182</v>
      </c>
      <c r="B18" t="s">
        <v>183</v>
      </c>
      <c r="C18">
        <v>14751000</v>
      </c>
      <c r="D18" t="s">
        <v>184</v>
      </c>
      <c r="E18" t="s">
        <v>185</v>
      </c>
      <c r="F18" t="s">
        <v>186</v>
      </c>
      <c r="G18" t="s">
        <v>187</v>
      </c>
      <c r="H18" t="s">
        <v>188</v>
      </c>
      <c r="I18" t="s">
        <v>189</v>
      </c>
      <c r="J18" t="s">
        <v>190</v>
      </c>
      <c r="K18" t="s">
        <v>63</v>
      </c>
      <c r="L18" t="s">
        <v>63</v>
      </c>
      <c r="M18" t="s">
        <v>63</v>
      </c>
      <c r="N18" s="3"/>
      <c r="P18" t="str">
        <v>Harbin</v>
      </c>
      <c r="Q18" t="str">
        <v>China</v>
      </c>
      <c r="R18">
        <v>6115000</v>
      </c>
      <c r="S18" t="str">
        <v>City (sub-provincial)</v>
      </c>
      <c r="T18" t="str">
        <v>10,635,971</v>
      </c>
      <c r="U18" t="str">
        <v>53,068</v>
      </c>
      <c r="V18" t="str">
        <v>200[17]</v>
      </c>
      <c r="W18" t="str">
        <v>3,830,000</v>
      </c>
      <c r="X18" t="str">
        <v>671</v>
      </c>
      <c r="Y18" t="str">
        <v>5,708</v>
      </c>
      <c r="Z18" t="str">
        <v>—</v>
      </c>
      <c r="AA18" t="str">
        <v>—</v>
      </c>
      <c r="AB18" t="str">
        <v>—</v>
      </c>
      <c r="AC18">
        <v>0</v>
      </c>
    </row>
    <row r="19" spans="1:29" x14ac:dyDescent="0.35">
      <c r="A19" t="s">
        <v>191</v>
      </c>
      <c r="B19" t="s">
        <v>13</v>
      </c>
      <c r="C19">
        <v>15333000</v>
      </c>
      <c r="D19" t="s">
        <v>44</v>
      </c>
      <c r="E19" t="s">
        <v>192</v>
      </c>
      <c r="F19" t="s">
        <v>193</v>
      </c>
      <c r="G19" t="s">
        <v>194</v>
      </c>
      <c r="H19" t="s">
        <v>195</v>
      </c>
      <c r="I19" t="s">
        <v>196</v>
      </c>
      <c r="J19" t="s">
        <v>197</v>
      </c>
      <c r="K19" t="s">
        <v>198</v>
      </c>
      <c r="L19" t="s">
        <v>199</v>
      </c>
      <c r="M19" t="s">
        <v>200</v>
      </c>
      <c r="N19" s="3"/>
      <c r="P19" t="str">
        <v>Qingdao</v>
      </c>
      <c r="Q19" t="str">
        <v>China</v>
      </c>
      <c r="R19">
        <v>5381000</v>
      </c>
      <c r="S19" t="str">
        <v>City (sub-provincial)</v>
      </c>
      <c r="T19" t="str">
        <v>10,071,722</v>
      </c>
      <c r="U19" t="str">
        <v>11,229</v>
      </c>
      <c r="V19" t="str">
        <v>897[99]</v>
      </c>
      <c r="W19" t="str">
        <v>6,229,000</v>
      </c>
      <c r="X19" t="str">
        <v>1,759</v>
      </c>
      <c r="Y19" t="str">
        <v>3,541</v>
      </c>
      <c r="Z19" t="str">
        <v>—</v>
      </c>
      <c r="AA19" t="str">
        <v>—</v>
      </c>
      <c r="AB19" t="str">
        <v>—</v>
      </c>
      <c r="AC19">
        <v>0</v>
      </c>
    </row>
    <row r="20" spans="1:29" x14ac:dyDescent="0.35">
      <c r="A20" t="s">
        <v>201</v>
      </c>
      <c r="B20" t="s">
        <v>202</v>
      </c>
      <c r="C20">
        <v>13482000</v>
      </c>
      <c r="D20" t="s">
        <v>115</v>
      </c>
      <c r="E20" t="s">
        <v>203</v>
      </c>
      <c r="F20" t="s">
        <v>204</v>
      </c>
      <c r="G20" t="s">
        <v>205</v>
      </c>
      <c r="H20" t="s">
        <v>206</v>
      </c>
      <c r="I20" t="s">
        <v>207</v>
      </c>
      <c r="J20" t="s">
        <v>208</v>
      </c>
      <c r="K20" t="s">
        <v>209</v>
      </c>
      <c r="L20" t="s">
        <v>210</v>
      </c>
      <c r="M20" t="s">
        <v>211</v>
      </c>
      <c r="N20" s="3"/>
      <c r="P20" t="str">
        <v>Dalian</v>
      </c>
      <c r="Q20" t="str">
        <v>China</v>
      </c>
      <c r="R20">
        <v>5300000</v>
      </c>
      <c r="S20" t="str">
        <v>City (sub-provincial)</v>
      </c>
      <c r="T20" t="str">
        <v>7,450,785</v>
      </c>
      <c r="U20" t="str">
        <v>13,742</v>
      </c>
      <c r="V20" t="str">
        <v>542[100]</v>
      </c>
      <c r="W20" t="str">
        <v>4,135,000</v>
      </c>
      <c r="X20" t="str">
        <v>1,044</v>
      </c>
      <c r="Y20" t="str">
        <v>3,961</v>
      </c>
      <c r="Z20" t="str">
        <v>—</v>
      </c>
      <c r="AA20" t="str">
        <v>—</v>
      </c>
      <c r="AB20" t="str">
        <v>—</v>
      </c>
      <c r="AC20">
        <v>0</v>
      </c>
    </row>
    <row r="21" spans="1:29" x14ac:dyDescent="0.35">
      <c r="A21" t="s">
        <v>212</v>
      </c>
      <c r="B21" t="s">
        <v>213</v>
      </c>
      <c r="C21">
        <v>13463000</v>
      </c>
      <c r="D21" t="s">
        <v>155</v>
      </c>
      <c r="E21" t="s">
        <v>63</v>
      </c>
      <c r="F21" t="s">
        <v>63</v>
      </c>
      <c r="G21" t="s">
        <v>63</v>
      </c>
      <c r="H21" t="s">
        <v>214</v>
      </c>
      <c r="I21" t="s">
        <v>215</v>
      </c>
      <c r="J21" t="s">
        <v>216</v>
      </c>
      <c r="K21" t="s">
        <v>217</v>
      </c>
      <c r="L21" t="s">
        <v>218</v>
      </c>
      <c r="M21" t="s">
        <v>219</v>
      </c>
      <c r="N21" s="3"/>
      <c r="P21" t="str">
        <v>Jinan</v>
      </c>
      <c r="Q21" t="str">
        <v>China</v>
      </c>
      <c r="R21">
        <v>5052000</v>
      </c>
      <c r="S21" t="str">
        <v>City (sub-provincial)</v>
      </c>
      <c r="T21" t="str">
        <v>9,202,432</v>
      </c>
      <c r="U21" t="str">
        <v>10,244</v>
      </c>
      <c r="V21" t="str">
        <v>898[17][18]</v>
      </c>
      <c r="W21" t="str">
        <v>4,017,000</v>
      </c>
      <c r="X21" t="str">
        <v>932</v>
      </c>
      <c r="Y21" t="str">
        <v>4,310</v>
      </c>
      <c r="Z21" t="str">
        <v>—</v>
      </c>
      <c r="AA21" t="str">
        <v>—</v>
      </c>
      <c r="AB21" t="str">
        <v>—</v>
      </c>
      <c r="AC21">
        <v>0</v>
      </c>
    </row>
    <row r="22" spans="1:29" x14ac:dyDescent="0.35">
      <c r="A22" t="s">
        <v>220</v>
      </c>
      <c r="B22" t="s">
        <v>65</v>
      </c>
      <c r="C22">
        <v>13293000</v>
      </c>
      <c r="D22" t="s">
        <v>56</v>
      </c>
      <c r="E22" t="s">
        <v>221</v>
      </c>
      <c r="F22" t="s">
        <v>222</v>
      </c>
      <c r="G22" t="s">
        <v>223</v>
      </c>
      <c r="H22" t="s">
        <v>224</v>
      </c>
      <c r="I22" t="s">
        <v>225</v>
      </c>
      <c r="J22" t="s">
        <v>226</v>
      </c>
      <c r="K22" t="s">
        <v>227</v>
      </c>
      <c r="L22" t="s">
        <v>228</v>
      </c>
      <c r="M22" t="s">
        <v>229</v>
      </c>
      <c r="N22" s="3"/>
    </row>
    <row r="23" spans="1:29" x14ac:dyDescent="0.35">
      <c r="A23" t="s">
        <v>230</v>
      </c>
      <c r="B23" t="s">
        <v>55</v>
      </c>
      <c r="C23">
        <v>13215000</v>
      </c>
      <c r="D23" t="s">
        <v>56</v>
      </c>
      <c r="E23" t="s">
        <v>231</v>
      </c>
      <c r="F23" t="s">
        <v>232</v>
      </c>
      <c r="G23" t="s">
        <v>233</v>
      </c>
      <c r="H23" t="s">
        <v>234</v>
      </c>
      <c r="I23" t="s">
        <v>235</v>
      </c>
      <c r="J23" t="s">
        <v>236</v>
      </c>
      <c r="K23" t="s">
        <v>63</v>
      </c>
      <c r="L23" t="s">
        <v>63</v>
      </c>
      <c r="M23" t="s">
        <v>63</v>
      </c>
      <c r="N23" s="3"/>
    </row>
    <row r="24" spans="1:29" x14ac:dyDescent="0.35">
      <c r="A24" t="s">
        <v>237</v>
      </c>
      <c r="B24" t="s">
        <v>238</v>
      </c>
      <c r="C24">
        <v>13171000</v>
      </c>
      <c r="D24" t="s">
        <v>239</v>
      </c>
      <c r="E24" t="s">
        <v>240</v>
      </c>
      <c r="F24" t="s">
        <v>241</v>
      </c>
      <c r="G24" t="s">
        <v>242</v>
      </c>
      <c r="H24" t="s">
        <v>243</v>
      </c>
      <c r="I24" t="s">
        <v>244</v>
      </c>
      <c r="J24" t="s">
        <v>245</v>
      </c>
      <c r="K24" t="s">
        <v>63</v>
      </c>
      <c r="L24" t="s">
        <v>63</v>
      </c>
      <c r="M24" t="s">
        <v>63</v>
      </c>
      <c r="N24" s="3"/>
    </row>
    <row r="25" spans="1:29" x14ac:dyDescent="0.35">
      <c r="A25" t="s">
        <v>246</v>
      </c>
      <c r="B25" t="s">
        <v>55</v>
      </c>
      <c r="C25">
        <v>12638000</v>
      </c>
      <c r="D25" t="s">
        <v>247</v>
      </c>
      <c r="E25" t="s">
        <v>248</v>
      </c>
      <c r="F25" t="s">
        <v>249</v>
      </c>
      <c r="G25" t="s">
        <v>250</v>
      </c>
      <c r="H25" t="s">
        <v>251</v>
      </c>
      <c r="I25" t="s">
        <v>252</v>
      </c>
      <c r="J25" t="s">
        <v>253</v>
      </c>
      <c r="K25" t="s">
        <v>63</v>
      </c>
      <c r="L25" t="s">
        <v>63</v>
      </c>
      <c r="M25" t="s">
        <v>63</v>
      </c>
      <c r="N25" s="3"/>
    </row>
    <row r="26" spans="1:29" x14ac:dyDescent="0.35">
      <c r="A26" t="s">
        <v>254</v>
      </c>
      <c r="B26" t="s">
        <v>135</v>
      </c>
      <c r="C26">
        <v>12458000</v>
      </c>
      <c r="D26" t="s">
        <v>136</v>
      </c>
      <c r="E26" t="s">
        <v>255</v>
      </c>
      <c r="F26" t="s">
        <v>256</v>
      </c>
      <c r="G26" t="s">
        <v>257</v>
      </c>
      <c r="H26" t="s">
        <v>258</v>
      </c>
      <c r="I26" t="s">
        <v>259</v>
      </c>
      <c r="J26" t="s">
        <v>260</v>
      </c>
      <c r="K26" t="s">
        <v>261</v>
      </c>
      <c r="L26" t="s">
        <v>262</v>
      </c>
      <c r="M26" t="s">
        <v>263</v>
      </c>
      <c r="N26" s="3"/>
    </row>
    <row r="27" spans="1:29" x14ac:dyDescent="0.35">
      <c r="A27" t="s">
        <v>264</v>
      </c>
      <c r="B27" t="s">
        <v>265</v>
      </c>
      <c r="C27">
        <v>12410000</v>
      </c>
      <c r="D27" t="s">
        <v>266</v>
      </c>
      <c r="E27" t="s">
        <v>267</v>
      </c>
      <c r="F27" t="s">
        <v>268</v>
      </c>
      <c r="G27" t="s">
        <v>269</v>
      </c>
      <c r="H27" t="s">
        <v>270</v>
      </c>
      <c r="I27" t="s">
        <v>271</v>
      </c>
      <c r="J27" t="s">
        <v>272</v>
      </c>
      <c r="K27" t="s">
        <v>273</v>
      </c>
      <c r="L27" t="s">
        <v>63</v>
      </c>
      <c r="M27" t="s">
        <v>63</v>
      </c>
      <c r="N27" s="3"/>
    </row>
    <row r="28" spans="1:29" x14ac:dyDescent="0.35">
      <c r="A28" t="s">
        <v>274</v>
      </c>
      <c r="B28" t="s">
        <v>55</v>
      </c>
      <c r="C28">
        <v>11908000</v>
      </c>
      <c r="D28" t="s">
        <v>247</v>
      </c>
      <c r="E28" t="s">
        <v>275</v>
      </c>
      <c r="F28" t="s">
        <v>276</v>
      </c>
      <c r="G28" t="s">
        <v>277</v>
      </c>
      <c r="H28" t="s">
        <v>278</v>
      </c>
      <c r="I28" t="s">
        <v>279</v>
      </c>
      <c r="J28" t="s">
        <v>280</v>
      </c>
      <c r="K28" t="s">
        <v>63</v>
      </c>
      <c r="L28" t="s">
        <v>63</v>
      </c>
      <c r="M28" t="s">
        <v>63</v>
      </c>
      <c r="N28" s="3"/>
    </row>
    <row r="29" spans="1:29" x14ac:dyDescent="0.35">
      <c r="A29" t="s">
        <v>281</v>
      </c>
      <c r="B29" t="s">
        <v>154</v>
      </c>
      <c r="C29">
        <v>11738000</v>
      </c>
      <c r="D29" t="s">
        <v>155</v>
      </c>
      <c r="E29" t="s">
        <v>282</v>
      </c>
      <c r="F29" t="s">
        <v>283</v>
      </c>
      <c r="G29" t="s">
        <v>284</v>
      </c>
      <c r="H29" t="s">
        <v>285</v>
      </c>
      <c r="I29" t="s">
        <v>286</v>
      </c>
      <c r="J29" t="s">
        <v>287</v>
      </c>
      <c r="K29" t="s">
        <v>63</v>
      </c>
      <c r="L29" t="s">
        <v>63</v>
      </c>
      <c r="M29" t="s">
        <v>63</v>
      </c>
      <c r="N29" s="3"/>
    </row>
    <row r="30" spans="1:29" x14ac:dyDescent="0.35">
      <c r="A30" t="s">
        <v>288</v>
      </c>
      <c r="B30" t="s">
        <v>13</v>
      </c>
      <c r="C30">
        <v>11440000</v>
      </c>
      <c r="D30" t="s">
        <v>44</v>
      </c>
      <c r="E30" t="s">
        <v>289</v>
      </c>
      <c r="F30" t="s">
        <v>290</v>
      </c>
      <c r="G30" t="s">
        <v>291</v>
      </c>
      <c r="H30" t="s">
        <v>292</v>
      </c>
      <c r="I30" t="s">
        <v>293</v>
      </c>
      <c r="J30" t="s">
        <v>294</v>
      </c>
      <c r="K30" t="s">
        <v>63</v>
      </c>
      <c r="L30" t="s">
        <v>63</v>
      </c>
      <c r="M30" t="s">
        <v>63</v>
      </c>
      <c r="N30" s="3"/>
    </row>
    <row r="31" spans="1:29" x14ac:dyDescent="0.35">
      <c r="A31" t="s">
        <v>295</v>
      </c>
      <c r="B31" t="s">
        <v>296</v>
      </c>
      <c r="C31">
        <v>10901000</v>
      </c>
      <c r="D31" t="s">
        <v>297</v>
      </c>
      <c r="E31" t="s">
        <v>298</v>
      </c>
      <c r="F31" t="s">
        <v>299</v>
      </c>
      <c r="G31" t="s">
        <v>300</v>
      </c>
      <c r="H31" t="s">
        <v>301</v>
      </c>
      <c r="I31" t="s">
        <v>302</v>
      </c>
      <c r="J31" t="s">
        <v>303</v>
      </c>
      <c r="K31" t="s">
        <v>304</v>
      </c>
      <c r="L31" t="s">
        <v>305</v>
      </c>
      <c r="M31" t="s">
        <v>306</v>
      </c>
      <c r="N31" s="3"/>
    </row>
    <row r="32" spans="1:29" x14ac:dyDescent="0.35">
      <c r="A32" t="s">
        <v>307</v>
      </c>
      <c r="B32" t="s">
        <v>308</v>
      </c>
      <c r="C32">
        <v>10574000</v>
      </c>
      <c r="D32" t="s">
        <v>309</v>
      </c>
      <c r="E32" t="s">
        <v>310</v>
      </c>
      <c r="F32" t="s">
        <v>311</v>
      </c>
      <c r="G32" t="s">
        <v>312</v>
      </c>
      <c r="H32" t="s">
        <v>313</v>
      </c>
      <c r="I32" t="s">
        <v>314</v>
      </c>
      <c r="J32" t="s">
        <v>315</v>
      </c>
      <c r="K32" t="s">
        <v>316</v>
      </c>
      <c r="L32" t="s">
        <v>317</v>
      </c>
      <c r="M32" t="s">
        <v>318</v>
      </c>
      <c r="N32" s="3"/>
    </row>
    <row r="33" spans="1:14" x14ac:dyDescent="0.35">
      <c r="A33" t="s">
        <v>319</v>
      </c>
      <c r="B33" t="s">
        <v>320</v>
      </c>
      <c r="C33">
        <v>10517000</v>
      </c>
      <c r="D33" t="s">
        <v>321</v>
      </c>
      <c r="E33" t="s">
        <v>322</v>
      </c>
      <c r="F33" t="s">
        <v>323</v>
      </c>
      <c r="G33" t="s">
        <v>324</v>
      </c>
      <c r="H33" t="s">
        <v>325</v>
      </c>
      <c r="I33" t="s">
        <v>326</v>
      </c>
      <c r="J33" t="s">
        <v>327</v>
      </c>
      <c r="K33" t="s">
        <v>328</v>
      </c>
      <c r="L33" t="s">
        <v>329</v>
      </c>
      <c r="M33" t="s">
        <v>330</v>
      </c>
      <c r="N33" s="3"/>
    </row>
    <row r="34" spans="1:14" x14ac:dyDescent="0.35">
      <c r="A34" t="s">
        <v>331</v>
      </c>
      <c r="B34" t="s">
        <v>13</v>
      </c>
      <c r="C34">
        <v>10456000</v>
      </c>
      <c r="D34" t="s">
        <v>44</v>
      </c>
      <c r="E34" t="s">
        <v>332</v>
      </c>
      <c r="F34" t="s">
        <v>333</v>
      </c>
      <c r="G34" t="s">
        <v>334</v>
      </c>
      <c r="H34" t="s">
        <v>335</v>
      </c>
      <c r="I34" t="s">
        <v>336</v>
      </c>
      <c r="J34" t="s">
        <v>337</v>
      </c>
      <c r="K34" t="s">
        <v>338</v>
      </c>
      <c r="L34" t="s">
        <v>339</v>
      </c>
      <c r="M34" t="s">
        <v>340</v>
      </c>
      <c r="N34" s="3"/>
    </row>
    <row r="35" spans="1:14" x14ac:dyDescent="0.35">
      <c r="A35" t="s">
        <v>341</v>
      </c>
      <c r="B35" t="s">
        <v>342</v>
      </c>
      <c r="C35">
        <v>10391000</v>
      </c>
      <c r="D35" t="s">
        <v>184</v>
      </c>
      <c r="E35" t="s">
        <v>343</v>
      </c>
      <c r="F35" t="s">
        <v>344</v>
      </c>
      <c r="G35" t="s">
        <v>345</v>
      </c>
      <c r="H35" t="s">
        <v>346</v>
      </c>
      <c r="I35" t="s">
        <v>347</v>
      </c>
      <c r="J35" t="s">
        <v>348</v>
      </c>
      <c r="K35" t="s">
        <v>349</v>
      </c>
      <c r="L35" t="s">
        <v>350</v>
      </c>
      <c r="M35" t="s">
        <v>351</v>
      </c>
      <c r="N35" s="3"/>
    </row>
    <row r="36" spans="1:14" x14ac:dyDescent="0.35">
      <c r="A36" t="s">
        <v>352</v>
      </c>
      <c r="B36" t="s">
        <v>353</v>
      </c>
      <c r="C36">
        <v>10156000</v>
      </c>
      <c r="D36" t="s">
        <v>354</v>
      </c>
      <c r="E36" t="s">
        <v>355</v>
      </c>
      <c r="F36" t="s">
        <v>356</v>
      </c>
      <c r="G36" t="s">
        <v>357</v>
      </c>
      <c r="H36" t="s">
        <v>358</v>
      </c>
      <c r="I36" t="s">
        <v>359</v>
      </c>
      <c r="J36" t="s">
        <v>360</v>
      </c>
      <c r="K36" t="s">
        <v>361</v>
      </c>
      <c r="L36" t="s">
        <v>362</v>
      </c>
      <c r="M36" t="s">
        <v>363</v>
      </c>
      <c r="N36" s="3"/>
    </row>
    <row r="37" spans="1:14" x14ac:dyDescent="0.35">
      <c r="A37" t="s">
        <v>364</v>
      </c>
      <c r="B37" t="s">
        <v>365</v>
      </c>
      <c r="C37">
        <v>9963000</v>
      </c>
      <c r="D37" t="s">
        <v>366</v>
      </c>
      <c r="E37" t="s">
        <v>367</v>
      </c>
      <c r="F37" t="s">
        <v>368</v>
      </c>
      <c r="G37" t="s">
        <v>369</v>
      </c>
      <c r="H37" t="s">
        <v>370</v>
      </c>
      <c r="I37" t="s">
        <v>371</v>
      </c>
      <c r="J37" t="s">
        <v>372</v>
      </c>
      <c r="K37" t="s">
        <v>373</v>
      </c>
      <c r="L37" t="s">
        <v>374</v>
      </c>
      <c r="M37" t="s">
        <v>375</v>
      </c>
      <c r="N37" s="3"/>
    </row>
    <row r="38" spans="1:14" x14ac:dyDescent="0.35">
      <c r="A38" t="s">
        <v>376</v>
      </c>
      <c r="B38" t="s">
        <v>32</v>
      </c>
      <c r="C38">
        <v>9507000</v>
      </c>
      <c r="D38" t="s">
        <v>124</v>
      </c>
      <c r="E38" t="s">
        <v>377</v>
      </c>
      <c r="F38" t="s">
        <v>378</v>
      </c>
      <c r="G38" t="s">
        <v>379</v>
      </c>
      <c r="H38" t="s">
        <v>380</v>
      </c>
      <c r="I38" t="s">
        <v>381</v>
      </c>
      <c r="J38" t="s">
        <v>382</v>
      </c>
      <c r="K38" t="s">
        <v>383</v>
      </c>
      <c r="L38" t="s">
        <v>384</v>
      </c>
      <c r="M38" t="s">
        <v>385</v>
      </c>
      <c r="N38" s="3"/>
    </row>
    <row r="39" spans="1:14" x14ac:dyDescent="0.35">
      <c r="A39" t="s">
        <v>386</v>
      </c>
      <c r="B39" t="s">
        <v>13</v>
      </c>
      <c r="C39">
        <v>9482000</v>
      </c>
      <c r="D39" t="s">
        <v>44</v>
      </c>
      <c r="E39" t="s">
        <v>387</v>
      </c>
      <c r="F39" t="s">
        <v>388</v>
      </c>
      <c r="G39" t="s">
        <v>389</v>
      </c>
      <c r="H39" t="s">
        <v>390</v>
      </c>
      <c r="I39" t="s">
        <v>391</v>
      </c>
      <c r="J39" t="s">
        <v>392</v>
      </c>
      <c r="K39" t="s">
        <v>63</v>
      </c>
      <c r="L39" t="s">
        <v>63</v>
      </c>
      <c r="M39" t="s">
        <v>63</v>
      </c>
      <c r="N39" s="3"/>
    </row>
    <row r="40" spans="1:14" x14ac:dyDescent="0.35">
      <c r="A40" t="s">
        <v>12</v>
      </c>
      <c r="B40" t="s">
        <v>393</v>
      </c>
      <c r="C40">
        <v>9046000</v>
      </c>
      <c r="D40" t="s">
        <v>115</v>
      </c>
      <c r="E40" t="s">
        <v>394</v>
      </c>
      <c r="F40" t="s">
        <v>395</v>
      </c>
      <c r="G40" t="s">
        <v>396</v>
      </c>
      <c r="H40" t="s">
        <v>397</v>
      </c>
      <c r="I40" t="s">
        <v>398</v>
      </c>
      <c r="J40" t="s">
        <v>399</v>
      </c>
      <c r="K40" t="s">
        <v>400</v>
      </c>
      <c r="L40" t="s">
        <v>401</v>
      </c>
      <c r="M40" t="s">
        <v>402</v>
      </c>
      <c r="N40" s="3"/>
    </row>
    <row r="41" spans="1:14" x14ac:dyDescent="0.35">
      <c r="A41" t="s">
        <v>403</v>
      </c>
      <c r="B41" t="s">
        <v>135</v>
      </c>
      <c r="C41">
        <v>8864000</v>
      </c>
      <c r="D41" t="s">
        <v>136</v>
      </c>
      <c r="E41" t="s">
        <v>404</v>
      </c>
      <c r="F41" t="s">
        <v>405</v>
      </c>
      <c r="G41" t="s">
        <v>406</v>
      </c>
      <c r="H41" t="s">
        <v>407</v>
      </c>
      <c r="I41" t="s">
        <v>408</v>
      </c>
      <c r="J41" t="s">
        <v>409</v>
      </c>
      <c r="K41" t="s">
        <v>410</v>
      </c>
      <c r="L41" t="s">
        <v>411</v>
      </c>
      <c r="M41" t="s">
        <v>412</v>
      </c>
      <c r="N41" s="3"/>
    </row>
    <row r="42" spans="1:14" x14ac:dyDescent="0.35">
      <c r="A42" t="s">
        <v>413</v>
      </c>
      <c r="B42" t="s">
        <v>55</v>
      </c>
      <c r="C42">
        <v>8813000</v>
      </c>
      <c r="D42" t="s">
        <v>247</v>
      </c>
      <c r="E42" t="s">
        <v>414</v>
      </c>
      <c r="F42" t="s">
        <v>415</v>
      </c>
      <c r="G42" t="s">
        <v>416</v>
      </c>
      <c r="H42" t="s">
        <v>414</v>
      </c>
      <c r="I42" t="s">
        <v>417</v>
      </c>
      <c r="J42" t="s">
        <v>418</v>
      </c>
      <c r="K42" t="s">
        <v>63</v>
      </c>
      <c r="L42" t="s">
        <v>63</v>
      </c>
      <c r="M42" t="s">
        <v>63</v>
      </c>
      <c r="N42" s="3"/>
    </row>
    <row r="43" spans="1:14" x14ac:dyDescent="0.35">
      <c r="A43" t="s">
        <v>419</v>
      </c>
      <c r="B43" t="s">
        <v>55</v>
      </c>
      <c r="C43">
        <v>8245000</v>
      </c>
      <c r="D43" t="s">
        <v>247</v>
      </c>
      <c r="E43" t="s">
        <v>420</v>
      </c>
      <c r="F43" t="s">
        <v>421</v>
      </c>
      <c r="G43" t="s">
        <v>422</v>
      </c>
      <c r="H43" t="s">
        <v>423</v>
      </c>
      <c r="I43" t="s">
        <v>424</v>
      </c>
      <c r="J43" t="s">
        <v>425</v>
      </c>
      <c r="K43" t="s">
        <v>63</v>
      </c>
      <c r="L43" t="s">
        <v>63</v>
      </c>
      <c r="M43" t="s">
        <v>63</v>
      </c>
      <c r="N43" s="3"/>
    </row>
    <row r="44" spans="1:14" x14ac:dyDescent="0.35">
      <c r="A44" t="s">
        <v>426</v>
      </c>
      <c r="B44" t="s">
        <v>55</v>
      </c>
      <c r="C44">
        <v>8176000</v>
      </c>
      <c r="D44" t="s">
        <v>247</v>
      </c>
      <c r="E44" t="s">
        <v>427</v>
      </c>
      <c r="F44" t="s">
        <v>428</v>
      </c>
      <c r="G44" t="s">
        <v>429</v>
      </c>
      <c r="H44" t="s">
        <v>427</v>
      </c>
      <c r="I44" t="s">
        <v>430</v>
      </c>
      <c r="J44" t="s">
        <v>431</v>
      </c>
      <c r="K44" t="s">
        <v>63</v>
      </c>
      <c r="L44" t="s">
        <v>63</v>
      </c>
      <c r="M44" t="s">
        <v>63</v>
      </c>
      <c r="N44" s="3"/>
    </row>
    <row r="45" spans="1:14" x14ac:dyDescent="0.35">
      <c r="A45" t="s">
        <v>432</v>
      </c>
      <c r="B45" t="s">
        <v>433</v>
      </c>
      <c r="C45">
        <v>8145000</v>
      </c>
      <c r="D45" t="s">
        <v>56</v>
      </c>
      <c r="E45" t="s">
        <v>434</v>
      </c>
      <c r="F45" t="s">
        <v>435</v>
      </c>
      <c r="G45" t="s">
        <v>436</v>
      </c>
      <c r="H45" t="s">
        <v>437</v>
      </c>
      <c r="I45" t="s">
        <v>438</v>
      </c>
      <c r="J45" t="s">
        <v>439</v>
      </c>
      <c r="K45" t="s">
        <v>63</v>
      </c>
      <c r="L45" t="s">
        <v>63</v>
      </c>
      <c r="M45" t="s">
        <v>63</v>
      </c>
      <c r="N45" s="3"/>
    </row>
    <row r="46" spans="1:14" x14ac:dyDescent="0.35">
      <c r="A46" t="s">
        <v>440</v>
      </c>
      <c r="B46" t="s">
        <v>441</v>
      </c>
      <c r="C46">
        <v>7774000</v>
      </c>
      <c r="D46" t="s">
        <v>56</v>
      </c>
      <c r="E46" t="s">
        <v>442</v>
      </c>
      <c r="F46" t="s">
        <v>443</v>
      </c>
      <c r="G46" t="s">
        <v>444</v>
      </c>
      <c r="H46" t="s">
        <v>445</v>
      </c>
      <c r="I46" t="s">
        <v>446</v>
      </c>
      <c r="J46" t="s">
        <v>447</v>
      </c>
      <c r="K46" t="s">
        <v>63</v>
      </c>
      <c r="L46" t="s">
        <v>63</v>
      </c>
      <c r="M46" t="s">
        <v>63</v>
      </c>
      <c r="N46" s="3"/>
    </row>
    <row r="47" spans="1:14" x14ac:dyDescent="0.35">
      <c r="A47" t="s">
        <v>448</v>
      </c>
      <c r="B47" t="s">
        <v>13</v>
      </c>
      <c r="C47">
        <v>7681000</v>
      </c>
      <c r="D47" t="s">
        <v>44</v>
      </c>
      <c r="E47" t="s">
        <v>449</v>
      </c>
      <c r="F47" t="s">
        <v>450</v>
      </c>
      <c r="G47" t="s">
        <v>451</v>
      </c>
      <c r="H47" t="s">
        <v>452</v>
      </c>
      <c r="I47" t="s">
        <v>453</v>
      </c>
      <c r="J47" t="s">
        <v>454</v>
      </c>
      <c r="K47" t="s">
        <v>455</v>
      </c>
      <c r="L47" t="s">
        <v>63</v>
      </c>
      <c r="M47" t="s">
        <v>63</v>
      </c>
      <c r="N47" s="3"/>
    </row>
    <row r="48" spans="1:14" x14ac:dyDescent="0.35">
      <c r="A48" t="s">
        <v>456</v>
      </c>
      <c r="B48" t="s">
        <v>457</v>
      </c>
      <c r="C48">
        <v>7564000</v>
      </c>
      <c r="D48" t="s">
        <v>136</v>
      </c>
      <c r="E48" t="s">
        <v>458</v>
      </c>
      <c r="F48" t="s">
        <v>459</v>
      </c>
      <c r="G48" t="s">
        <v>460</v>
      </c>
      <c r="H48" t="s">
        <v>461</v>
      </c>
      <c r="I48" t="s">
        <v>462</v>
      </c>
      <c r="J48" t="s">
        <v>463</v>
      </c>
      <c r="K48" t="s">
        <v>464</v>
      </c>
      <c r="L48" t="s">
        <v>465</v>
      </c>
      <c r="M48" t="s">
        <v>466</v>
      </c>
      <c r="N48" s="3"/>
    </row>
    <row r="49" spans="1:14" x14ac:dyDescent="0.35">
      <c r="A49" t="s">
        <v>467</v>
      </c>
      <c r="B49" t="s">
        <v>55</v>
      </c>
      <c r="C49">
        <v>7444000</v>
      </c>
      <c r="D49" t="s">
        <v>247</v>
      </c>
      <c r="E49" t="s">
        <v>468</v>
      </c>
      <c r="F49" t="s">
        <v>469</v>
      </c>
      <c r="G49" t="s">
        <v>470</v>
      </c>
      <c r="H49" t="s">
        <v>471</v>
      </c>
      <c r="I49" t="s">
        <v>472</v>
      </c>
      <c r="J49" t="s">
        <v>473</v>
      </c>
      <c r="K49" t="s">
        <v>63</v>
      </c>
      <c r="L49" t="s">
        <v>63</v>
      </c>
      <c r="M49" t="s">
        <v>63</v>
      </c>
      <c r="N49" s="3"/>
    </row>
    <row r="50" spans="1:14" x14ac:dyDescent="0.35">
      <c r="A50" t="s">
        <v>474</v>
      </c>
      <c r="B50" t="s">
        <v>474</v>
      </c>
      <c r="C50">
        <v>7429000</v>
      </c>
      <c r="D50" t="s">
        <v>475</v>
      </c>
      <c r="E50" t="s">
        <v>476</v>
      </c>
      <c r="F50" t="s">
        <v>477</v>
      </c>
      <c r="G50" t="s">
        <v>478</v>
      </c>
      <c r="H50" t="s">
        <v>479</v>
      </c>
      <c r="I50" t="s">
        <v>480</v>
      </c>
      <c r="J50" t="s">
        <v>481</v>
      </c>
      <c r="K50" t="s">
        <v>63</v>
      </c>
      <c r="L50" t="s">
        <v>63</v>
      </c>
      <c r="M50" t="s">
        <v>63</v>
      </c>
      <c r="N50" s="3"/>
    </row>
    <row r="51" spans="1:14" x14ac:dyDescent="0.35">
      <c r="A51" t="s">
        <v>482</v>
      </c>
      <c r="B51" t="s">
        <v>55</v>
      </c>
      <c r="C51">
        <v>7360000</v>
      </c>
      <c r="D51" t="s">
        <v>483</v>
      </c>
      <c r="E51" t="s">
        <v>484</v>
      </c>
      <c r="F51" t="s">
        <v>485</v>
      </c>
      <c r="G51" t="s">
        <v>486</v>
      </c>
      <c r="H51" t="s">
        <v>487</v>
      </c>
      <c r="I51" t="s">
        <v>488</v>
      </c>
      <c r="J51" t="s">
        <v>489</v>
      </c>
      <c r="K51" t="s">
        <v>63</v>
      </c>
      <c r="L51" t="s">
        <v>63</v>
      </c>
      <c r="M51" t="s">
        <v>63</v>
      </c>
      <c r="N51" s="3"/>
    </row>
    <row r="52" spans="1:14" x14ac:dyDescent="0.35">
      <c r="A52" t="s">
        <v>490</v>
      </c>
      <c r="B52" t="s">
        <v>55</v>
      </c>
      <c r="C52">
        <v>7236000</v>
      </c>
      <c r="D52" t="s">
        <v>247</v>
      </c>
      <c r="E52" t="s">
        <v>491</v>
      </c>
      <c r="F52" t="s">
        <v>492</v>
      </c>
      <c r="G52" t="s">
        <v>493</v>
      </c>
      <c r="H52" t="s">
        <v>494</v>
      </c>
      <c r="I52" t="s">
        <v>495</v>
      </c>
      <c r="J52" t="s">
        <v>496</v>
      </c>
      <c r="K52" t="s">
        <v>63</v>
      </c>
      <c r="L52" t="s">
        <v>63</v>
      </c>
      <c r="M52" t="s">
        <v>63</v>
      </c>
      <c r="N52" s="3"/>
    </row>
    <row r="53" spans="1:14" x14ac:dyDescent="0.35">
      <c r="A53" t="s">
        <v>497</v>
      </c>
      <c r="B53" t="s">
        <v>55</v>
      </c>
      <c r="C53">
        <v>7236000</v>
      </c>
      <c r="D53" t="s">
        <v>483</v>
      </c>
      <c r="E53" t="s">
        <v>498</v>
      </c>
      <c r="F53" t="s">
        <v>499</v>
      </c>
      <c r="G53" t="s">
        <v>500</v>
      </c>
      <c r="H53" t="s">
        <v>501</v>
      </c>
      <c r="I53" t="s">
        <v>63</v>
      </c>
      <c r="J53" t="s">
        <v>63</v>
      </c>
      <c r="K53" t="s">
        <v>63</v>
      </c>
      <c r="L53" t="s">
        <v>63</v>
      </c>
      <c r="M53" t="s">
        <v>63</v>
      </c>
      <c r="N53" s="3"/>
    </row>
    <row r="54" spans="1:14" x14ac:dyDescent="0.35">
      <c r="A54" t="s">
        <v>502</v>
      </c>
      <c r="B54" t="s">
        <v>55</v>
      </c>
      <c r="C54">
        <v>6921000</v>
      </c>
      <c r="D54" t="s">
        <v>247</v>
      </c>
      <c r="E54" t="s">
        <v>503</v>
      </c>
      <c r="F54" t="s">
        <v>504</v>
      </c>
      <c r="G54" t="s">
        <v>505</v>
      </c>
      <c r="H54" t="s">
        <v>506</v>
      </c>
      <c r="I54" t="s">
        <v>507</v>
      </c>
      <c r="J54" t="s">
        <v>508</v>
      </c>
      <c r="K54" t="s">
        <v>63</v>
      </c>
      <c r="L54" t="s">
        <v>63</v>
      </c>
      <c r="M54" t="s">
        <v>63</v>
      </c>
      <c r="N54" s="3"/>
    </row>
    <row r="55" spans="1:14" x14ac:dyDescent="0.35">
      <c r="A55" t="s">
        <v>509</v>
      </c>
      <c r="B55" t="s">
        <v>510</v>
      </c>
      <c r="C55">
        <v>6907000</v>
      </c>
      <c r="D55" t="s">
        <v>56</v>
      </c>
      <c r="E55" t="s">
        <v>511</v>
      </c>
      <c r="F55" t="s">
        <v>512</v>
      </c>
      <c r="G55" t="s">
        <v>513</v>
      </c>
      <c r="H55" t="s">
        <v>514</v>
      </c>
      <c r="I55" t="s">
        <v>515</v>
      </c>
      <c r="J55" t="s">
        <v>516</v>
      </c>
      <c r="K55" t="s">
        <v>63</v>
      </c>
      <c r="L55" t="s">
        <v>63</v>
      </c>
      <c r="M55" t="s">
        <v>63</v>
      </c>
      <c r="N55" s="3"/>
    </row>
    <row r="56" spans="1:14" x14ac:dyDescent="0.35">
      <c r="A56" t="s">
        <v>517</v>
      </c>
      <c r="B56" t="s">
        <v>518</v>
      </c>
      <c r="C56">
        <v>6812000</v>
      </c>
      <c r="D56" t="s">
        <v>89</v>
      </c>
      <c r="E56" t="s">
        <v>519</v>
      </c>
      <c r="F56" t="s">
        <v>520</v>
      </c>
      <c r="G56" t="s">
        <v>521</v>
      </c>
      <c r="H56" t="s">
        <v>522</v>
      </c>
      <c r="I56" t="s">
        <v>523</v>
      </c>
      <c r="J56" t="s">
        <v>524</v>
      </c>
      <c r="K56" t="s">
        <v>63</v>
      </c>
      <c r="L56" t="s">
        <v>63</v>
      </c>
      <c r="M56" t="s">
        <v>63</v>
      </c>
      <c r="N56" s="3"/>
    </row>
    <row r="57" spans="1:14" x14ac:dyDescent="0.35">
      <c r="A57" t="s">
        <v>525</v>
      </c>
      <c r="B57" t="s">
        <v>526</v>
      </c>
      <c r="C57">
        <v>6680000</v>
      </c>
      <c r="D57" t="s">
        <v>527</v>
      </c>
      <c r="E57" t="s">
        <v>528</v>
      </c>
      <c r="F57" t="s">
        <v>529</v>
      </c>
      <c r="G57" t="s">
        <v>530</v>
      </c>
      <c r="H57" t="s">
        <v>531</v>
      </c>
      <c r="I57" t="s">
        <v>532</v>
      </c>
      <c r="J57" t="s">
        <v>533</v>
      </c>
      <c r="K57" t="s">
        <v>534</v>
      </c>
      <c r="L57" t="s">
        <v>535</v>
      </c>
      <c r="M57" t="s">
        <v>536</v>
      </c>
      <c r="N57" s="3"/>
    </row>
    <row r="58" spans="1:14" x14ac:dyDescent="0.35">
      <c r="A58" t="s">
        <v>537</v>
      </c>
      <c r="B58" t="s">
        <v>13</v>
      </c>
      <c r="C58">
        <v>6564000</v>
      </c>
      <c r="D58" t="s">
        <v>44</v>
      </c>
      <c r="E58" t="s">
        <v>538</v>
      </c>
      <c r="F58" t="s">
        <v>539</v>
      </c>
      <c r="G58" t="s">
        <v>540</v>
      </c>
      <c r="H58" t="s">
        <v>541</v>
      </c>
      <c r="I58" t="s">
        <v>542</v>
      </c>
      <c r="J58" t="s">
        <v>543</v>
      </c>
      <c r="K58" t="s">
        <v>63</v>
      </c>
      <c r="L58" t="s">
        <v>63</v>
      </c>
      <c r="M58" t="s">
        <v>63</v>
      </c>
      <c r="N58" s="3"/>
    </row>
    <row r="59" spans="1:14" x14ac:dyDescent="0.35">
      <c r="A59" t="s">
        <v>544</v>
      </c>
      <c r="B59" t="s">
        <v>545</v>
      </c>
      <c r="C59">
        <v>6497000</v>
      </c>
      <c r="D59" t="s">
        <v>56</v>
      </c>
      <c r="E59" t="s">
        <v>546</v>
      </c>
      <c r="F59" t="s">
        <v>547</v>
      </c>
      <c r="G59" t="s">
        <v>548</v>
      </c>
      <c r="H59" t="s">
        <v>549</v>
      </c>
      <c r="I59" t="s">
        <v>550</v>
      </c>
      <c r="J59" t="s">
        <v>551</v>
      </c>
      <c r="K59" t="s">
        <v>552</v>
      </c>
      <c r="L59" t="s">
        <v>63</v>
      </c>
      <c r="M59" t="s">
        <v>63</v>
      </c>
      <c r="N59" s="3"/>
    </row>
    <row r="60" spans="1:14" x14ac:dyDescent="0.35">
      <c r="A60" t="s">
        <v>553</v>
      </c>
      <c r="B60" t="s">
        <v>55</v>
      </c>
      <c r="C60">
        <v>6339000</v>
      </c>
      <c r="D60" t="s">
        <v>483</v>
      </c>
      <c r="E60" t="s">
        <v>554</v>
      </c>
      <c r="F60" t="s">
        <v>555</v>
      </c>
      <c r="G60" t="s">
        <v>556</v>
      </c>
      <c r="H60" t="s">
        <v>557</v>
      </c>
      <c r="I60" t="s">
        <v>558</v>
      </c>
      <c r="J60" t="s">
        <v>559</v>
      </c>
      <c r="K60" t="s">
        <v>63</v>
      </c>
      <c r="L60" t="s">
        <v>63</v>
      </c>
      <c r="M60" t="s">
        <v>63</v>
      </c>
      <c r="N60" s="3"/>
    </row>
    <row r="61" spans="1:14" x14ac:dyDescent="0.35">
      <c r="A61" t="s">
        <v>560</v>
      </c>
      <c r="B61" t="s">
        <v>13</v>
      </c>
      <c r="C61">
        <v>6276000</v>
      </c>
      <c r="D61" t="s">
        <v>44</v>
      </c>
      <c r="E61" t="s">
        <v>561</v>
      </c>
      <c r="F61" t="s">
        <v>562</v>
      </c>
      <c r="G61" t="s">
        <v>563</v>
      </c>
      <c r="H61" t="s">
        <v>564</v>
      </c>
      <c r="I61" t="s">
        <v>388</v>
      </c>
      <c r="J61" t="s">
        <v>565</v>
      </c>
      <c r="K61" t="s">
        <v>566</v>
      </c>
      <c r="L61" t="s">
        <v>567</v>
      </c>
      <c r="M61" t="s">
        <v>568</v>
      </c>
      <c r="N61" s="3"/>
    </row>
    <row r="62" spans="1:14" x14ac:dyDescent="0.35">
      <c r="A62" t="s">
        <v>569</v>
      </c>
      <c r="B62" t="s">
        <v>55</v>
      </c>
      <c r="C62">
        <v>6115000</v>
      </c>
      <c r="D62" t="s">
        <v>247</v>
      </c>
      <c r="E62" t="s">
        <v>570</v>
      </c>
      <c r="F62" t="s">
        <v>571</v>
      </c>
      <c r="G62" t="s">
        <v>572</v>
      </c>
      <c r="H62" t="s">
        <v>573</v>
      </c>
      <c r="I62" t="s">
        <v>574</v>
      </c>
      <c r="J62" t="s">
        <v>575</v>
      </c>
      <c r="K62" t="s">
        <v>63</v>
      </c>
      <c r="L62" t="s">
        <v>63</v>
      </c>
      <c r="M62" t="s">
        <v>63</v>
      </c>
      <c r="N62" s="3"/>
    </row>
    <row r="63" spans="1:14" x14ac:dyDescent="0.35">
      <c r="A63" t="s">
        <v>576</v>
      </c>
      <c r="B63" t="s">
        <v>135</v>
      </c>
      <c r="C63">
        <v>6115000</v>
      </c>
      <c r="D63" t="s">
        <v>136</v>
      </c>
      <c r="E63" t="s">
        <v>577</v>
      </c>
      <c r="F63" t="s">
        <v>578</v>
      </c>
      <c r="G63" t="s">
        <v>579</v>
      </c>
      <c r="H63" t="s">
        <v>580</v>
      </c>
      <c r="I63" t="s">
        <v>581</v>
      </c>
      <c r="J63" t="s">
        <v>582</v>
      </c>
      <c r="K63" t="s">
        <v>583</v>
      </c>
      <c r="L63" t="s">
        <v>584</v>
      </c>
      <c r="M63" t="s">
        <v>585</v>
      </c>
      <c r="N63" s="3"/>
    </row>
    <row r="64" spans="1:14" x14ac:dyDescent="0.35">
      <c r="A64" t="s">
        <v>586</v>
      </c>
      <c r="B64" t="s">
        <v>135</v>
      </c>
      <c r="C64">
        <v>6099000</v>
      </c>
      <c r="D64" t="s">
        <v>136</v>
      </c>
      <c r="E64" t="s">
        <v>587</v>
      </c>
      <c r="F64" t="s">
        <v>588</v>
      </c>
      <c r="G64" t="s">
        <v>589</v>
      </c>
      <c r="H64" t="s">
        <v>590</v>
      </c>
      <c r="I64" t="s">
        <v>591</v>
      </c>
      <c r="J64" t="s">
        <v>592</v>
      </c>
      <c r="K64" t="s">
        <v>593</v>
      </c>
      <c r="L64" t="s">
        <v>594</v>
      </c>
      <c r="M64" t="s">
        <v>595</v>
      </c>
      <c r="N64" s="3"/>
    </row>
    <row r="65" spans="1:14" x14ac:dyDescent="0.35">
      <c r="A65" t="s">
        <v>596</v>
      </c>
      <c r="B65" t="s">
        <v>597</v>
      </c>
      <c r="C65">
        <v>6082000</v>
      </c>
      <c r="D65" t="s">
        <v>136</v>
      </c>
      <c r="E65" t="s">
        <v>598</v>
      </c>
      <c r="F65" t="s">
        <v>599</v>
      </c>
      <c r="G65" t="s">
        <v>600</v>
      </c>
      <c r="H65" t="s">
        <v>601</v>
      </c>
      <c r="I65" t="s">
        <v>49</v>
      </c>
      <c r="J65" t="s">
        <v>602</v>
      </c>
      <c r="K65" t="s">
        <v>603</v>
      </c>
      <c r="L65" t="s">
        <v>604</v>
      </c>
      <c r="M65" t="s">
        <v>605</v>
      </c>
      <c r="N65" s="3"/>
    </row>
    <row r="66" spans="1:14" x14ac:dyDescent="0.35">
      <c r="A66" t="s">
        <v>606</v>
      </c>
      <c r="B66" t="s">
        <v>607</v>
      </c>
      <c r="C66">
        <v>6048000</v>
      </c>
      <c r="D66" t="s">
        <v>136</v>
      </c>
      <c r="E66" t="s">
        <v>608</v>
      </c>
      <c r="F66" t="s">
        <v>609</v>
      </c>
      <c r="G66" t="s">
        <v>610</v>
      </c>
      <c r="H66" t="s">
        <v>611</v>
      </c>
      <c r="I66" t="s">
        <v>612</v>
      </c>
      <c r="J66" t="s">
        <v>613</v>
      </c>
      <c r="K66" t="s">
        <v>63</v>
      </c>
      <c r="L66" t="s">
        <v>63</v>
      </c>
      <c r="M66" t="s">
        <v>63</v>
      </c>
      <c r="N66" s="3"/>
    </row>
    <row r="67" spans="1:14" x14ac:dyDescent="0.35">
      <c r="A67" t="s">
        <v>614</v>
      </c>
      <c r="B67" t="s">
        <v>135</v>
      </c>
      <c r="C67">
        <v>6036000</v>
      </c>
      <c r="D67" t="s">
        <v>136</v>
      </c>
      <c r="E67" t="s">
        <v>615</v>
      </c>
      <c r="F67" t="s">
        <v>616</v>
      </c>
      <c r="G67" t="s">
        <v>617</v>
      </c>
      <c r="H67" t="s">
        <v>618</v>
      </c>
      <c r="I67" t="s">
        <v>619</v>
      </c>
      <c r="J67" t="s">
        <v>620</v>
      </c>
      <c r="K67" t="s">
        <v>621</v>
      </c>
      <c r="L67" t="s">
        <v>622</v>
      </c>
      <c r="M67" t="s">
        <v>623</v>
      </c>
      <c r="N67" s="3"/>
    </row>
    <row r="68" spans="1:14" x14ac:dyDescent="0.35">
      <c r="A68" t="s">
        <v>624</v>
      </c>
      <c r="B68" t="s">
        <v>65</v>
      </c>
      <c r="C68">
        <v>5972000</v>
      </c>
      <c r="D68" t="s">
        <v>136</v>
      </c>
      <c r="E68" t="s">
        <v>625</v>
      </c>
      <c r="F68" t="s">
        <v>626</v>
      </c>
      <c r="G68" t="s">
        <v>627</v>
      </c>
      <c r="H68" t="s">
        <v>628</v>
      </c>
      <c r="I68" t="s">
        <v>629</v>
      </c>
      <c r="J68" t="s">
        <v>630</v>
      </c>
      <c r="K68" t="s">
        <v>631</v>
      </c>
      <c r="L68" t="s">
        <v>632</v>
      </c>
      <c r="M68" t="s">
        <v>633</v>
      </c>
      <c r="N68" s="3"/>
    </row>
    <row r="69" spans="1:14" x14ac:dyDescent="0.35">
      <c r="A69" t="s">
        <v>634</v>
      </c>
      <c r="B69" t="s">
        <v>634</v>
      </c>
      <c r="C69">
        <v>5792000</v>
      </c>
      <c r="D69" t="s">
        <v>15</v>
      </c>
      <c r="E69" t="s">
        <v>635</v>
      </c>
      <c r="F69" t="s">
        <v>636</v>
      </c>
      <c r="G69" t="s">
        <v>637</v>
      </c>
      <c r="H69" t="s">
        <v>638</v>
      </c>
      <c r="I69" t="s">
        <v>639</v>
      </c>
      <c r="J69" t="s">
        <v>640</v>
      </c>
      <c r="K69" t="s">
        <v>63</v>
      </c>
      <c r="L69" t="s">
        <v>63</v>
      </c>
      <c r="M69" t="s">
        <v>63</v>
      </c>
      <c r="N69" s="3"/>
    </row>
    <row r="70" spans="1:14" x14ac:dyDescent="0.35">
      <c r="A70" t="s">
        <v>641</v>
      </c>
      <c r="B70" t="s">
        <v>135</v>
      </c>
      <c r="C70">
        <v>5695000</v>
      </c>
      <c r="D70" t="s">
        <v>642</v>
      </c>
      <c r="E70" t="s">
        <v>643</v>
      </c>
      <c r="F70" t="s">
        <v>644</v>
      </c>
      <c r="G70" t="s">
        <v>645</v>
      </c>
      <c r="H70" t="s">
        <v>646</v>
      </c>
      <c r="I70" t="s">
        <v>647</v>
      </c>
      <c r="J70" t="s">
        <v>648</v>
      </c>
      <c r="K70" t="s">
        <v>649</v>
      </c>
      <c r="L70" t="s">
        <v>63</v>
      </c>
      <c r="M70" t="s">
        <v>63</v>
      </c>
      <c r="N70" s="3"/>
    </row>
    <row r="71" spans="1:14" x14ac:dyDescent="0.35">
      <c r="A71" t="s">
        <v>650</v>
      </c>
      <c r="B71" t="s">
        <v>135</v>
      </c>
      <c r="C71">
        <v>5572000</v>
      </c>
      <c r="D71" t="s">
        <v>136</v>
      </c>
      <c r="E71" t="s">
        <v>651</v>
      </c>
      <c r="F71" t="s">
        <v>652</v>
      </c>
      <c r="G71" t="s">
        <v>653</v>
      </c>
      <c r="H71" t="s">
        <v>654</v>
      </c>
      <c r="I71" t="s">
        <v>655</v>
      </c>
      <c r="J71" t="s">
        <v>656</v>
      </c>
      <c r="K71" t="s">
        <v>657</v>
      </c>
      <c r="L71" t="s">
        <v>658</v>
      </c>
      <c r="M71" t="s">
        <v>659</v>
      </c>
      <c r="N71" s="3"/>
    </row>
    <row r="72" spans="1:14" x14ac:dyDescent="0.35">
      <c r="A72" t="s">
        <v>660</v>
      </c>
      <c r="B72" t="s">
        <v>32</v>
      </c>
      <c r="C72">
        <v>5551000</v>
      </c>
      <c r="D72" t="s">
        <v>124</v>
      </c>
      <c r="E72" t="s">
        <v>661</v>
      </c>
      <c r="F72" t="s">
        <v>662</v>
      </c>
      <c r="G72" t="s">
        <v>663</v>
      </c>
      <c r="H72" t="s">
        <v>664</v>
      </c>
      <c r="I72" t="s">
        <v>665</v>
      </c>
      <c r="J72" t="s">
        <v>666</v>
      </c>
      <c r="K72" t="s">
        <v>63</v>
      </c>
      <c r="L72" t="s">
        <v>63</v>
      </c>
      <c r="M72" t="s">
        <v>63</v>
      </c>
      <c r="N72" s="3"/>
    </row>
    <row r="73" spans="1:14" x14ac:dyDescent="0.35">
      <c r="A73" t="s">
        <v>667</v>
      </c>
      <c r="B73" t="s">
        <v>668</v>
      </c>
      <c r="C73">
        <v>5534000</v>
      </c>
      <c r="D73" t="s">
        <v>63</v>
      </c>
      <c r="E73" t="s">
        <v>669</v>
      </c>
      <c r="F73" t="s">
        <v>63</v>
      </c>
      <c r="G73" t="s">
        <v>63</v>
      </c>
      <c r="H73" t="s">
        <v>670</v>
      </c>
      <c r="I73" t="s">
        <v>671</v>
      </c>
      <c r="J73" t="s">
        <v>672</v>
      </c>
      <c r="K73" t="s">
        <v>63</v>
      </c>
      <c r="L73" t="s">
        <v>63</v>
      </c>
      <c r="M73" t="s">
        <v>63</v>
      </c>
      <c r="N73" s="3"/>
    </row>
    <row r="74" spans="1:14" x14ac:dyDescent="0.35">
      <c r="A74" t="s">
        <v>673</v>
      </c>
      <c r="B74" t="s">
        <v>545</v>
      </c>
      <c r="C74">
        <v>5494000</v>
      </c>
      <c r="D74" t="s">
        <v>56</v>
      </c>
      <c r="E74" t="s">
        <v>674</v>
      </c>
      <c r="F74" t="s">
        <v>675</v>
      </c>
      <c r="G74" t="s">
        <v>676</v>
      </c>
      <c r="H74" t="s">
        <v>677</v>
      </c>
      <c r="I74" t="s">
        <v>678</v>
      </c>
      <c r="J74" t="s">
        <v>679</v>
      </c>
      <c r="K74" t="s">
        <v>680</v>
      </c>
      <c r="L74" t="s">
        <v>63</v>
      </c>
      <c r="M74" t="s">
        <v>63</v>
      </c>
      <c r="N74" s="3"/>
    </row>
    <row r="75" spans="1:14" x14ac:dyDescent="0.35">
      <c r="A75" t="s">
        <v>681</v>
      </c>
      <c r="B75" t="s">
        <v>682</v>
      </c>
      <c r="C75">
        <v>5486000</v>
      </c>
      <c r="D75" t="s">
        <v>184</v>
      </c>
      <c r="E75" t="s">
        <v>683</v>
      </c>
      <c r="F75" t="s">
        <v>684</v>
      </c>
      <c r="G75" t="s">
        <v>685</v>
      </c>
      <c r="H75" t="s">
        <v>686</v>
      </c>
      <c r="I75" t="s">
        <v>687</v>
      </c>
      <c r="J75" t="s">
        <v>688</v>
      </c>
      <c r="K75" t="s">
        <v>63</v>
      </c>
      <c r="L75" t="s">
        <v>63</v>
      </c>
      <c r="M75" t="s">
        <v>63</v>
      </c>
      <c r="N75" s="3"/>
    </row>
    <row r="76" spans="1:14" x14ac:dyDescent="0.35">
      <c r="A76" t="s">
        <v>689</v>
      </c>
      <c r="B76" t="s">
        <v>265</v>
      </c>
      <c r="C76">
        <v>5383000</v>
      </c>
      <c r="D76" t="s">
        <v>266</v>
      </c>
      <c r="E76" t="s">
        <v>690</v>
      </c>
      <c r="F76" t="s">
        <v>691</v>
      </c>
      <c r="G76" t="s">
        <v>692</v>
      </c>
      <c r="H76" t="s">
        <v>693</v>
      </c>
      <c r="I76" t="s">
        <v>694</v>
      </c>
      <c r="J76" t="s">
        <v>695</v>
      </c>
      <c r="K76" t="s">
        <v>63</v>
      </c>
      <c r="L76" t="s">
        <v>63</v>
      </c>
      <c r="M76" t="s">
        <v>63</v>
      </c>
      <c r="N76" s="3"/>
    </row>
    <row r="77" spans="1:14" x14ac:dyDescent="0.35">
      <c r="A77" t="s">
        <v>696</v>
      </c>
      <c r="B77" t="s">
        <v>55</v>
      </c>
      <c r="C77">
        <v>5381000</v>
      </c>
      <c r="D77" t="s">
        <v>247</v>
      </c>
      <c r="E77" t="s">
        <v>697</v>
      </c>
      <c r="F77" t="s">
        <v>698</v>
      </c>
      <c r="G77" t="s">
        <v>699</v>
      </c>
      <c r="H77" t="s">
        <v>700</v>
      </c>
      <c r="I77" t="s">
        <v>488</v>
      </c>
      <c r="J77" t="s">
        <v>701</v>
      </c>
      <c r="K77" t="s">
        <v>63</v>
      </c>
      <c r="L77" t="s">
        <v>63</v>
      </c>
      <c r="M77" t="s">
        <v>63</v>
      </c>
      <c r="N77" s="3"/>
    </row>
    <row r="78" spans="1:14" x14ac:dyDescent="0.35">
      <c r="A78" t="s">
        <v>702</v>
      </c>
      <c r="B78" t="s">
        <v>55</v>
      </c>
      <c r="C78">
        <v>5300000</v>
      </c>
      <c r="D78" t="s">
        <v>247</v>
      </c>
      <c r="E78" t="s">
        <v>703</v>
      </c>
      <c r="F78" t="s">
        <v>704</v>
      </c>
      <c r="G78" t="s">
        <v>705</v>
      </c>
      <c r="H78" t="s">
        <v>706</v>
      </c>
      <c r="I78" t="s">
        <v>707</v>
      </c>
      <c r="J78" t="s">
        <v>708</v>
      </c>
      <c r="K78" t="s">
        <v>63</v>
      </c>
      <c r="L78" t="s">
        <v>63</v>
      </c>
      <c r="M78" t="s">
        <v>63</v>
      </c>
      <c r="N78" s="3"/>
    </row>
    <row r="79" spans="1:14" x14ac:dyDescent="0.35">
      <c r="A79" t="s">
        <v>709</v>
      </c>
      <c r="B79" t="s">
        <v>135</v>
      </c>
      <c r="C79">
        <v>5207000</v>
      </c>
      <c r="D79" t="s">
        <v>710</v>
      </c>
      <c r="E79" t="s">
        <v>711</v>
      </c>
      <c r="F79" t="s">
        <v>712</v>
      </c>
      <c r="G79" t="s">
        <v>713</v>
      </c>
      <c r="H79" t="s">
        <v>714</v>
      </c>
      <c r="I79" t="s">
        <v>715</v>
      </c>
      <c r="J79" t="s">
        <v>716</v>
      </c>
      <c r="K79" t="s">
        <v>717</v>
      </c>
      <c r="L79" t="s">
        <v>718</v>
      </c>
      <c r="M79" t="s">
        <v>719</v>
      </c>
      <c r="N79" s="3"/>
    </row>
    <row r="80" spans="1:14" x14ac:dyDescent="0.35">
      <c r="A80" t="s">
        <v>720</v>
      </c>
      <c r="B80" t="s">
        <v>721</v>
      </c>
      <c r="C80">
        <v>5157000</v>
      </c>
      <c r="D80" t="s">
        <v>136</v>
      </c>
      <c r="E80" t="s">
        <v>722</v>
      </c>
      <c r="F80" t="s">
        <v>63</v>
      </c>
      <c r="G80" t="s">
        <v>63</v>
      </c>
      <c r="H80" t="s">
        <v>723</v>
      </c>
      <c r="I80" t="s">
        <v>724</v>
      </c>
      <c r="J80" t="s">
        <v>725</v>
      </c>
      <c r="K80" t="s">
        <v>63</v>
      </c>
      <c r="L80" t="s">
        <v>63</v>
      </c>
      <c r="M80" t="s">
        <v>63</v>
      </c>
      <c r="N80" s="3"/>
    </row>
    <row r="81" spans="1:14" x14ac:dyDescent="0.35">
      <c r="A81" t="s">
        <v>726</v>
      </c>
      <c r="B81" t="s">
        <v>88</v>
      </c>
      <c r="C81">
        <v>5086000</v>
      </c>
      <c r="D81" t="s">
        <v>89</v>
      </c>
      <c r="E81" t="s">
        <v>727</v>
      </c>
      <c r="F81" t="s">
        <v>728</v>
      </c>
      <c r="G81" t="s">
        <v>729</v>
      </c>
      <c r="H81" t="s">
        <v>730</v>
      </c>
      <c r="I81" t="s">
        <v>731</v>
      </c>
      <c r="J81" t="s">
        <v>732</v>
      </c>
      <c r="K81" t="s">
        <v>63</v>
      </c>
      <c r="L81" t="s">
        <v>63</v>
      </c>
      <c r="M81" t="s">
        <v>63</v>
      </c>
      <c r="N81" s="3"/>
    </row>
    <row r="82" spans="1:14" x14ac:dyDescent="0.35">
      <c r="A82" t="s">
        <v>733</v>
      </c>
      <c r="B82" t="s">
        <v>55</v>
      </c>
      <c r="C82">
        <v>5052000</v>
      </c>
      <c r="D82" t="s">
        <v>247</v>
      </c>
      <c r="E82" t="s">
        <v>734</v>
      </c>
      <c r="F82" t="s">
        <v>735</v>
      </c>
      <c r="G82" t="s">
        <v>736</v>
      </c>
      <c r="H82" t="s">
        <v>737</v>
      </c>
      <c r="I82" t="s">
        <v>738</v>
      </c>
      <c r="J82" t="s">
        <v>739</v>
      </c>
      <c r="K82" t="s">
        <v>63</v>
      </c>
      <c r="L82" t="s">
        <v>63</v>
      </c>
      <c r="M82" t="s">
        <v>63</v>
      </c>
      <c r="N82" s="3"/>
    </row>
    <row r="83" spans="1:14" x14ac:dyDescent="0.35">
      <c r="A83" t="s">
        <v>740</v>
      </c>
      <c r="B83" t="s">
        <v>76</v>
      </c>
      <c r="C83">
        <v>5023000</v>
      </c>
      <c r="D83" t="s">
        <v>56</v>
      </c>
      <c r="E83" t="s">
        <v>741</v>
      </c>
      <c r="F83" t="s">
        <v>742</v>
      </c>
      <c r="G83" t="s">
        <v>743</v>
      </c>
      <c r="H83" t="s">
        <v>744</v>
      </c>
      <c r="I83" t="s">
        <v>745</v>
      </c>
      <c r="J83" t="s">
        <v>746</v>
      </c>
      <c r="K83" t="s">
        <v>747</v>
      </c>
      <c r="L83" t="s">
        <v>748</v>
      </c>
      <c r="M83" t="s">
        <v>79</v>
      </c>
      <c r="N83" s="3"/>
    </row>
  </sheetData>
  <phoneticPr fontId="1" type="noConversion"/>
  <pageMargins left="0.70866141732283472" right="0.70866141732283472" top="0.74803149606299213" bottom="0.74803149606299213" header="0.31496062992125984" footer="0.31496062992125984"/>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C7F1-1A3B-42FF-8997-60B0974B34B6}">
  <sheetPr codeName="Sheet4"/>
  <dimension ref="A1"/>
  <sheetViews>
    <sheetView showGridLines="0" zoomScale="74" workbookViewId="0">
      <selection activeCell="P13" sqref="P13"/>
    </sheetView>
  </sheetViews>
  <sheetFormatPr defaultRowHeight="14.5" x14ac:dyDescent="0.35"/>
  <cols>
    <col min="7" max="7" width="24.1796875" customWidth="1"/>
  </cols>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13D2-0238-4954-A977-A02F414FA073}">
  <sheetPr codeName="Sheet5"/>
  <dimension ref="A1:E19"/>
  <sheetViews>
    <sheetView topLeftCell="A8" workbookViewId="0">
      <selection activeCell="A3" sqref="A3"/>
    </sheetView>
  </sheetViews>
  <sheetFormatPr defaultRowHeight="14.5" x14ac:dyDescent="0.35"/>
  <sheetData>
    <row r="1" spans="1:5" x14ac:dyDescent="0.35">
      <c r="A1" t="s">
        <v>0</v>
      </c>
      <c r="B1" t="s">
        <v>1</v>
      </c>
      <c r="C1" t="s">
        <v>2</v>
      </c>
      <c r="D1" t="s">
        <v>3</v>
      </c>
      <c r="E1" t="s">
        <v>4</v>
      </c>
    </row>
    <row r="2" spans="1:5" x14ac:dyDescent="0.35">
      <c r="A2">
        <v>2000</v>
      </c>
      <c r="B2">
        <v>101</v>
      </c>
      <c r="C2">
        <v>102</v>
      </c>
      <c r="D2">
        <v>103</v>
      </c>
      <c r="E2">
        <v>104</v>
      </c>
    </row>
    <row r="3" spans="1:5" x14ac:dyDescent="0.35">
      <c r="A3">
        <v>101</v>
      </c>
      <c r="B3">
        <v>102</v>
      </c>
      <c r="C3">
        <v>203</v>
      </c>
      <c r="D3">
        <v>104</v>
      </c>
      <c r="E3">
        <v>105</v>
      </c>
    </row>
    <row r="4" spans="1:5" x14ac:dyDescent="0.35">
      <c r="A4">
        <v>102</v>
      </c>
      <c r="B4">
        <v>103</v>
      </c>
      <c r="C4">
        <v>204</v>
      </c>
      <c r="D4">
        <v>105</v>
      </c>
      <c r="E4">
        <v>106</v>
      </c>
    </row>
    <row r="5" spans="1:5" x14ac:dyDescent="0.35">
      <c r="A5">
        <v>103</v>
      </c>
      <c r="B5">
        <v>104</v>
      </c>
      <c r="C5">
        <v>105</v>
      </c>
      <c r="D5">
        <v>106</v>
      </c>
      <c r="E5">
        <v>107</v>
      </c>
    </row>
    <row r="6" spans="1:5" x14ac:dyDescent="0.35">
      <c r="A6">
        <v>104</v>
      </c>
      <c r="B6">
        <v>105</v>
      </c>
      <c r="C6">
        <v>106</v>
      </c>
      <c r="D6">
        <v>107</v>
      </c>
      <c r="E6">
        <v>108</v>
      </c>
    </row>
    <row r="7" spans="1:5" x14ac:dyDescent="0.35">
      <c r="A7">
        <v>105</v>
      </c>
      <c r="B7">
        <v>106</v>
      </c>
      <c r="C7">
        <v>107</v>
      </c>
      <c r="D7">
        <v>108</v>
      </c>
      <c r="E7">
        <v>109</v>
      </c>
    </row>
    <row r="8" spans="1:5" x14ac:dyDescent="0.35">
      <c r="A8">
        <v>100</v>
      </c>
      <c r="B8">
        <v>101</v>
      </c>
      <c r="C8">
        <v>102</v>
      </c>
      <c r="D8">
        <v>103</v>
      </c>
      <c r="E8">
        <v>104</v>
      </c>
    </row>
    <row r="9" spans="1:5" x14ac:dyDescent="0.35">
      <c r="A9">
        <v>101</v>
      </c>
      <c r="B9">
        <v>102</v>
      </c>
      <c r="C9">
        <v>103</v>
      </c>
      <c r="D9">
        <v>104</v>
      </c>
      <c r="E9">
        <v>105</v>
      </c>
    </row>
    <row r="10" spans="1:5" x14ac:dyDescent="0.35">
      <c r="A10">
        <v>102</v>
      </c>
      <c r="B10">
        <v>103</v>
      </c>
      <c r="C10">
        <v>104</v>
      </c>
      <c r="D10">
        <v>105</v>
      </c>
      <c r="E10">
        <v>106</v>
      </c>
    </row>
    <row r="11" spans="1:5" x14ac:dyDescent="0.35">
      <c r="A11">
        <v>103</v>
      </c>
      <c r="B11">
        <v>104</v>
      </c>
      <c r="C11">
        <v>105</v>
      </c>
      <c r="D11">
        <v>106</v>
      </c>
      <c r="E11">
        <v>107</v>
      </c>
    </row>
    <row r="12" spans="1:5" x14ac:dyDescent="0.35">
      <c r="A12">
        <v>104</v>
      </c>
      <c r="B12">
        <v>105</v>
      </c>
      <c r="C12">
        <v>106</v>
      </c>
      <c r="D12">
        <v>107</v>
      </c>
      <c r="E12">
        <v>108</v>
      </c>
    </row>
    <row r="13" spans="1:5" x14ac:dyDescent="0.35">
      <c r="A13">
        <v>105</v>
      </c>
      <c r="B13">
        <v>106</v>
      </c>
      <c r="C13">
        <v>107</v>
      </c>
      <c r="D13">
        <v>108</v>
      </c>
      <c r="E13">
        <v>109</v>
      </c>
    </row>
    <row r="14" spans="1:5" x14ac:dyDescent="0.35">
      <c r="A14">
        <v>100</v>
      </c>
      <c r="B14">
        <v>101</v>
      </c>
      <c r="C14">
        <v>102</v>
      </c>
      <c r="D14">
        <v>103</v>
      </c>
      <c r="E14">
        <v>104</v>
      </c>
    </row>
    <row r="15" spans="1:5" x14ac:dyDescent="0.35">
      <c r="A15">
        <v>101</v>
      </c>
      <c r="B15">
        <v>102</v>
      </c>
      <c r="C15">
        <v>103</v>
      </c>
      <c r="D15">
        <v>104</v>
      </c>
      <c r="E15">
        <v>105</v>
      </c>
    </row>
    <row r="16" spans="1:5" x14ac:dyDescent="0.35">
      <c r="A16">
        <v>102</v>
      </c>
      <c r="B16">
        <v>103</v>
      </c>
      <c r="C16">
        <v>104</v>
      </c>
      <c r="D16">
        <v>105</v>
      </c>
      <c r="E16">
        <v>106</v>
      </c>
    </row>
    <row r="17" spans="1:5" x14ac:dyDescent="0.35">
      <c r="A17">
        <v>103</v>
      </c>
      <c r="B17">
        <v>104</v>
      </c>
      <c r="C17">
        <v>105</v>
      </c>
      <c r="D17">
        <v>106</v>
      </c>
      <c r="E17">
        <v>107</v>
      </c>
    </row>
    <row r="18" spans="1:5" x14ac:dyDescent="0.35">
      <c r="A18">
        <v>104</v>
      </c>
      <c r="B18">
        <v>105</v>
      </c>
      <c r="C18">
        <v>106</v>
      </c>
      <c r="D18">
        <v>107</v>
      </c>
      <c r="E18">
        <v>108</v>
      </c>
    </row>
    <row r="19" spans="1:5" x14ac:dyDescent="0.35">
      <c r="A19">
        <v>105</v>
      </c>
      <c r="B19">
        <v>106</v>
      </c>
      <c r="C19">
        <v>107</v>
      </c>
      <c r="D19">
        <v>108</v>
      </c>
      <c r="E19">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7B9F0-796F-4A0E-B968-81890186DE11}">
  <dimension ref="A1:L56"/>
  <sheetViews>
    <sheetView workbookViewId="0">
      <selection activeCell="H37" sqref="H37"/>
    </sheetView>
  </sheetViews>
  <sheetFormatPr defaultRowHeight="14.5" outlineLevelRow="1" x14ac:dyDescent="0.35"/>
  <sheetData>
    <row r="1" spans="1:12" x14ac:dyDescent="0.35">
      <c r="A1" t="s">
        <v>0</v>
      </c>
      <c r="B1" t="s">
        <v>1</v>
      </c>
      <c r="C1" t="s">
        <v>2</v>
      </c>
      <c r="D1" t="s">
        <v>3</v>
      </c>
      <c r="E1" t="s">
        <v>4</v>
      </c>
      <c r="H1" t="s">
        <v>4</v>
      </c>
      <c r="I1" t="s">
        <v>3</v>
      </c>
      <c r="J1" t="s">
        <v>2</v>
      </c>
      <c r="K1" t="s">
        <v>1</v>
      </c>
      <c r="L1" t="s">
        <v>0</v>
      </c>
    </row>
    <row r="2" spans="1:12" hidden="1" outlineLevel="1" x14ac:dyDescent="0.35">
      <c r="H2">
        <f>Sheet1!$E$2</f>
        <v>104</v>
      </c>
      <c r="I2">
        <f>Sheet1!$D$2</f>
        <v>103</v>
      </c>
      <c r="J2">
        <f>Sheet1!$C$2</f>
        <v>102</v>
      </c>
      <c r="K2">
        <f>Sheet1!$B$2</f>
        <v>101</v>
      </c>
      <c r="L2">
        <f>Sheet1!$A$2</f>
        <v>1000</v>
      </c>
    </row>
    <row r="3" spans="1:12" hidden="1" outlineLevel="1" collapsed="1" x14ac:dyDescent="0.35">
      <c r="H3">
        <f>Sheet2!$E$2</f>
        <v>104</v>
      </c>
      <c r="I3">
        <f>Sheet2!$D$2</f>
        <v>103</v>
      </c>
      <c r="J3">
        <f>Sheet2!$C$2</f>
        <v>102</v>
      </c>
      <c r="K3">
        <f>Sheet2!$B$2</f>
        <v>101</v>
      </c>
      <c r="L3">
        <f>Sheet2!$A$2</f>
        <v>100</v>
      </c>
    </row>
    <row r="4" spans="1:12" hidden="1" outlineLevel="1" collapsed="1" x14ac:dyDescent="0.35">
      <c r="H4">
        <f>Sheet3!$E$2</f>
        <v>104</v>
      </c>
      <c r="I4">
        <f>Sheet3!$D$2</f>
        <v>103</v>
      </c>
      <c r="J4">
        <f>Sheet3!$C$2</f>
        <v>102</v>
      </c>
      <c r="K4">
        <f>Sheet3!$B$2</f>
        <v>101</v>
      </c>
      <c r="L4">
        <f>Sheet3!$A$2</f>
        <v>2000</v>
      </c>
    </row>
    <row r="5" spans="1:12" collapsed="1" x14ac:dyDescent="0.35">
      <c r="A5">
        <v>100</v>
      </c>
      <c r="B5">
        <v>101</v>
      </c>
      <c r="C5">
        <v>102</v>
      </c>
      <c r="D5">
        <v>103</v>
      </c>
      <c r="E5">
        <v>104</v>
      </c>
      <c r="F5">
        <f>SUM(A5:E5)</f>
        <v>510</v>
      </c>
      <c r="H5">
        <f>SUM(H2:H4)</f>
        <v>312</v>
      </c>
      <c r="I5">
        <f>SUM(I2:I4)</f>
        <v>309</v>
      </c>
      <c r="J5">
        <f>SUM(J2:J4)</f>
        <v>306</v>
      </c>
      <c r="K5">
        <f>SUM(K2:K4)</f>
        <v>303</v>
      </c>
      <c r="L5">
        <f>SUM(L2:L4)</f>
        <v>3100</v>
      </c>
    </row>
    <row r="6" spans="1:12" hidden="1" outlineLevel="1" x14ac:dyDescent="0.35">
      <c r="H6">
        <f>Sheet1!$E$3</f>
        <v>105</v>
      </c>
      <c r="I6">
        <f>Sheet1!$D$3</f>
        <v>104</v>
      </c>
      <c r="J6">
        <f>Sheet1!$C$3</f>
        <v>103</v>
      </c>
      <c r="K6">
        <f>Sheet1!$B$3</f>
        <v>102</v>
      </c>
      <c r="L6">
        <f>Sheet1!$A$3</f>
        <v>101</v>
      </c>
    </row>
    <row r="7" spans="1:12" hidden="1" outlineLevel="1" collapsed="1" x14ac:dyDescent="0.35">
      <c r="H7">
        <f>Sheet2!$E$3</f>
        <v>105</v>
      </c>
      <c r="I7">
        <f>Sheet2!$D$3</f>
        <v>104</v>
      </c>
      <c r="J7">
        <f>Sheet2!$C$3</f>
        <v>103</v>
      </c>
      <c r="K7">
        <f>Sheet2!$B$3</f>
        <v>102</v>
      </c>
      <c r="L7">
        <f>Sheet2!$A$3</f>
        <v>101</v>
      </c>
    </row>
    <row r="8" spans="1:12" hidden="1" outlineLevel="1" collapsed="1" x14ac:dyDescent="0.35">
      <c r="H8">
        <f>Sheet3!$E$3</f>
        <v>105</v>
      </c>
      <c r="I8">
        <f>Sheet3!$D$3</f>
        <v>104</v>
      </c>
      <c r="J8">
        <f>Sheet3!$C$3</f>
        <v>203</v>
      </c>
      <c r="K8">
        <f>Sheet3!$B$3</f>
        <v>102</v>
      </c>
      <c r="L8">
        <f>Sheet3!$A$3</f>
        <v>101</v>
      </c>
    </row>
    <row r="9" spans="1:12" collapsed="1" x14ac:dyDescent="0.35">
      <c r="A9">
        <v>101</v>
      </c>
      <c r="B9">
        <v>102</v>
      </c>
      <c r="C9">
        <v>203</v>
      </c>
      <c r="D9">
        <v>104</v>
      </c>
      <c r="E9">
        <v>105</v>
      </c>
      <c r="F9">
        <f t="shared" ref="F9:F55" si="0">SUM(A9:E9)</f>
        <v>615</v>
      </c>
      <c r="H9">
        <f>SUM(H6:H8)</f>
        <v>315</v>
      </c>
      <c r="I9">
        <f>SUM(I6:I8)</f>
        <v>312</v>
      </c>
      <c r="J9">
        <f>SUM(J6:J8)</f>
        <v>409</v>
      </c>
      <c r="K9">
        <f>SUM(K6:K8)</f>
        <v>306</v>
      </c>
      <c r="L9">
        <f>SUM(L6:L8)</f>
        <v>303</v>
      </c>
    </row>
    <row r="10" spans="1:12" hidden="1" outlineLevel="1" x14ac:dyDescent="0.35">
      <c r="H10">
        <f>Sheet1!$E$4</f>
        <v>106</v>
      </c>
      <c r="I10">
        <f>Sheet1!$D$4</f>
        <v>105</v>
      </c>
      <c r="J10">
        <f>Sheet1!$C$4</f>
        <v>104</v>
      </c>
      <c r="K10">
        <f>Sheet1!$B$4</f>
        <v>103</v>
      </c>
      <c r="L10">
        <f>Sheet1!$A$4</f>
        <v>102</v>
      </c>
    </row>
    <row r="11" spans="1:12" hidden="1" outlineLevel="1" collapsed="1" x14ac:dyDescent="0.35">
      <c r="H11">
        <f>Sheet2!$E$4</f>
        <v>106</v>
      </c>
      <c r="I11">
        <f>Sheet2!$D$4</f>
        <v>105</v>
      </c>
      <c r="J11">
        <f>Sheet2!$C$4</f>
        <v>104</v>
      </c>
      <c r="K11">
        <f>Sheet2!$B$4</f>
        <v>103</v>
      </c>
      <c r="L11">
        <f>Sheet2!$A$4</f>
        <v>102</v>
      </c>
    </row>
    <row r="12" spans="1:12" hidden="1" outlineLevel="1" collapsed="1" x14ac:dyDescent="0.35">
      <c r="H12">
        <f>Sheet3!$E$4</f>
        <v>106</v>
      </c>
      <c r="I12">
        <f>Sheet3!$D$4</f>
        <v>105</v>
      </c>
      <c r="J12">
        <f>Sheet3!$C$4</f>
        <v>204</v>
      </c>
      <c r="K12">
        <f>Sheet3!$B$4</f>
        <v>103</v>
      </c>
      <c r="L12">
        <f>Sheet3!$A$4</f>
        <v>102</v>
      </c>
    </row>
    <row r="13" spans="1:12" collapsed="1" x14ac:dyDescent="0.35">
      <c r="A13">
        <v>102</v>
      </c>
      <c r="B13">
        <v>103</v>
      </c>
      <c r="C13">
        <v>204</v>
      </c>
      <c r="D13">
        <v>105</v>
      </c>
      <c r="E13">
        <v>106</v>
      </c>
      <c r="F13">
        <f t="shared" si="0"/>
        <v>620</v>
      </c>
      <c r="H13">
        <f>SUM(H10:H12)</f>
        <v>318</v>
      </c>
      <c r="I13">
        <f>SUM(I10:I12)</f>
        <v>315</v>
      </c>
      <c r="J13">
        <f>SUM(J10:J12)</f>
        <v>412</v>
      </c>
      <c r="K13">
        <f>SUM(K10:K12)</f>
        <v>309</v>
      </c>
      <c r="L13">
        <f>SUM(L10:L12)</f>
        <v>306</v>
      </c>
    </row>
    <row r="14" spans="1:12" hidden="1" outlineLevel="1" x14ac:dyDescent="0.35">
      <c r="H14">
        <f>Sheet1!$E$5</f>
        <v>107</v>
      </c>
      <c r="I14">
        <f>Sheet1!$D$5</f>
        <v>106</v>
      </c>
      <c r="J14">
        <f>Sheet1!$C$5</f>
        <v>105</v>
      </c>
      <c r="K14">
        <f>Sheet1!$B$5</f>
        <v>104</v>
      </c>
      <c r="L14">
        <f>Sheet1!$A$5</f>
        <v>103</v>
      </c>
    </row>
    <row r="15" spans="1:12" hidden="1" outlineLevel="1" collapsed="1" x14ac:dyDescent="0.35">
      <c r="H15">
        <f>Sheet2!$E$5</f>
        <v>107</v>
      </c>
      <c r="I15">
        <f>Sheet2!$D$5</f>
        <v>106</v>
      </c>
      <c r="J15">
        <f>Sheet2!$C$5</f>
        <v>105</v>
      </c>
      <c r="K15">
        <f>Sheet2!$B$5</f>
        <v>104</v>
      </c>
      <c r="L15">
        <f>Sheet2!$A$5</f>
        <v>103</v>
      </c>
    </row>
    <row r="16" spans="1:12" hidden="1" outlineLevel="1" collapsed="1" x14ac:dyDescent="0.35">
      <c r="H16">
        <f>Sheet3!$E$5</f>
        <v>107</v>
      </c>
      <c r="I16">
        <f>Sheet3!$D$5</f>
        <v>106</v>
      </c>
      <c r="J16">
        <f>Sheet3!$C$5</f>
        <v>105</v>
      </c>
      <c r="K16">
        <f>Sheet3!$B$5</f>
        <v>104</v>
      </c>
      <c r="L16">
        <f>Sheet3!$A$5</f>
        <v>103</v>
      </c>
    </row>
    <row r="17" spans="1:12" collapsed="1" x14ac:dyDescent="0.35">
      <c r="A17">
        <v>103</v>
      </c>
      <c r="B17">
        <v>104</v>
      </c>
      <c r="C17">
        <v>105</v>
      </c>
      <c r="D17">
        <v>106</v>
      </c>
      <c r="E17">
        <v>107</v>
      </c>
      <c r="F17">
        <f t="shared" si="0"/>
        <v>525</v>
      </c>
      <c r="H17">
        <f>SUM(H14:H16)</f>
        <v>321</v>
      </c>
      <c r="I17">
        <f>SUM(I14:I16)</f>
        <v>318</v>
      </c>
      <c r="J17">
        <f>SUM(J14:J16)</f>
        <v>315</v>
      </c>
      <c r="K17">
        <f>SUM(K14:K16)</f>
        <v>312</v>
      </c>
      <c r="L17">
        <f>SUM(L14:L16)</f>
        <v>309</v>
      </c>
    </row>
    <row r="18" spans="1:12" hidden="1" outlineLevel="1" x14ac:dyDescent="0.35">
      <c r="H18">
        <f>Sheet1!$E$6</f>
        <v>108</v>
      </c>
      <c r="I18">
        <f>Sheet1!$D$6</f>
        <v>107</v>
      </c>
      <c r="J18">
        <f>Sheet1!$C$6</f>
        <v>106</v>
      </c>
      <c r="K18">
        <f>Sheet1!$B$6</f>
        <v>105</v>
      </c>
      <c r="L18">
        <f>Sheet1!$A$6</f>
        <v>104</v>
      </c>
    </row>
    <row r="19" spans="1:12" hidden="1" outlineLevel="1" collapsed="1" x14ac:dyDescent="0.35">
      <c r="H19">
        <f>Sheet2!$E$6</f>
        <v>108</v>
      </c>
      <c r="I19">
        <f>Sheet2!$D$6</f>
        <v>107</v>
      </c>
      <c r="J19">
        <f>Sheet2!$C$6</f>
        <v>106</v>
      </c>
      <c r="K19">
        <f>Sheet2!$B$6</f>
        <v>105</v>
      </c>
      <c r="L19">
        <f>Sheet2!$A$6</f>
        <v>104</v>
      </c>
    </row>
    <row r="20" spans="1:12" hidden="1" outlineLevel="1" collapsed="1" x14ac:dyDescent="0.35">
      <c r="H20">
        <f>Sheet3!$E$6</f>
        <v>108</v>
      </c>
      <c r="I20">
        <f>Sheet3!$D$6</f>
        <v>107</v>
      </c>
      <c r="J20">
        <f>Sheet3!$C$6</f>
        <v>106</v>
      </c>
      <c r="K20">
        <f>Sheet3!$B$6</f>
        <v>105</v>
      </c>
      <c r="L20">
        <f>Sheet3!$A$6</f>
        <v>104</v>
      </c>
    </row>
    <row r="21" spans="1:12" collapsed="1" x14ac:dyDescent="0.35">
      <c r="A21">
        <v>104</v>
      </c>
      <c r="B21">
        <v>105</v>
      </c>
      <c r="C21">
        <v>106</v>
      </c>
      <c r="D21">
        <v>107</v>
      </c>
      <c r="E21">
        <v>108</v>
      </c>
      <c r="F21">
        <f t="shared" si="0"/>
        <v>530</v>
      </c>
      <c r="H21">
        <f>SUM(H18:H20)</f>
        <v>324</v>
      </c>
      <c r="I21">
        <f>SUM(I18:I20)</f>
        <v>321</v>
      </c>
      <c r="J21">
        <f>SUM(J18:J20)</f>
        <v>318</v>
      </c>
      <c r="K21">
        <f>SUM(K18:K20)</f>
        <v>315</v>
      </c>
      <c r="L21">
        <f>SUM(L18:L20)</f>
        <v>312</v>
      </c>
    </row>
    <row r="22" spans="1:12" hidden="1" outlineLevel="1" x14ac:dyDescent="0.35">
      <c r="H22">
        <f>Sheet1!$E$7</f>
        <v>109</v>
      </c>
      <c r="I22">
        <f>Sheet1!$D$7</f>
        <v>108</v>
      </c>
      <c r="J22">
        <f>Sheet1!$C$7</f>
        <v>107</v>
      </c>
      <c r="K22">
        <f>Sheet1!$B$7</f>
        <v>106</v>
      </c>
      <c r="L22">
        <f>Sheet1!$A$7</f>
        <v>105</v>
      </c>
    </row>
    <row r="23" spans="1:12" hidden="1" outlineLevel="1" collapsed="1" x14ac:dyDescent="0.35">
      <c r="H23">
        <f>Sheet2!$E$7</f>
        <v>109</v>
      </c>
      <c r="I23">
        <f>Sheet2!$D$7</f>
        <v>108</v>
      </c>
      <c r="J23">
        <f>Sheet2!$C$7</f>
        <v>107</v>
      </c>
      <c r="K23">
        <f>Sheet2!$B$7</f>
        <v>106</v>
      </c>
      <c r="L23">
        <f>Sheet2!$A$7</f>
        <v>105</v>
      </c>
    </row>
    <row r="24" spans="1:12" hidden="1" outlineLevel="1" collapsed="1" x14ac:dyDescent="0.35">
      <c r="H24">
        <f>Sheet3!$E$7</f>
        <v>109</v>
      </c>
      <c r="I24">
        <f>Sheet3!$D$7</f>
        <v>108</v>
      </c>
      <c r="J24">
        <f>Sheet3!$C$7</f>
        <v>107</v>
      </c>
      <c r="K24">
        <f>Sheet3!$B$7</f>
        <v>106</v>
      </c>
      <c r="L24">
        <f>Sheet3!$A$7</f>
        <v>105</v>
      </c>
    </row>
    <row r="25" spans="1:12" collapsed="1" x14ac:dyDescent="0.35">
      <c r="A25">
        <v>105</v>
      </c>
      <c r="B25">
        <v>106</v>
      </c>
      <c r="C25">
        <v>107</v>
      </c>
      <c r="D25">
        <v>108</v>
      </c>
      <c r="E25">
        <v>109</v>
      </c>
      <c r="F25">
        <f t="shared" si="0"/>
        <v>535</v>
      </c>
      <c r="H25">
        <f>SUM(H22:H24)</f>
        <v>327</v>
      </c>
      <c r="I25">
        <f>SUM(I22:I24)</f>
        <v>324</v>
      </c>
      <c r="J25">
        <f>SUM(J22:J24)</f>
        <v>321</v>
      </c>
      <c r="K25">
        <f>SUM(K22:K24)</f>
        <v>318</v>
      </c>
      <c r="L25">
        <f>SUM(L22:L24)</f>
        <v>315</v>
      </c>
    </row>
    <row r="26" spans="1:12" hidden="1" outlineLevel="1" x14ac:dyDescent="0.35"/>
    <row r="27" spans="1:12" hidden="1" outlineLevel="1" collapsed="1" x14ac:dyDescent="0.35"/>
    <row r="28" spans="1:12" hidden="1" outlineLevel="1" collapsed="1" x14ac:dyDescent="0.35"/>
    <row r="29" spans="1:12" collapsed="1" x14ac:dyDescent="0.35">
      <c r="A29">
        <v>100</v>
      </c>
      <c r="B29">
        <v>101</v>
      </c>
      <c r="C29">
        <v>102</v>
      </c>
      <c r="D29">
        <v>103</v>
      </c>
      <c r="E29">
        <v>104</v>
      </c>
      <c r="F29">
        <f t="shared" si="0"/>
        <v>510</v>
      </c>
    </row>
    <row r="30" spans="1:12" hidden="1" outlineLevel="1" x14ac:dyDescent="0.35"/>
    <row r="31" spans="1:12" hidden="1" outlineLevel="1" collapsed="1" x14ac:dyDescent="0.35"/>
    <row r="32" spans="1:12" hidden="1" outlineLevel="1" collapsed="1" x14ac:dyDescent="0.35"/>
    <row r="33" spans="1:6" collapsed="1" x14ac:dyDescent="0.35">
      <c r="A33">
        <v>101</v>
      </c>
      <c r="B33">
        <v>102</v>
      </c>
      <c r="C33">
        <v>103</v>
      </c>
      <c r="D33">
        <v>104</v>
      </c>
      <c r="E33">
        <v>105</v>
      </c>
      <c r="F33">
        <f t="shared" si="0"/>
        <v>515</v>
      </c>
    </row>
    <row r="34" spans="1:6" hidden="1" outlineLevel="1" x14ac:dyDescent="0.35"/>
    <row r="35" spans="1:6" hidden="1" outlineLevel="1" collapsed="1" x14ac:dyDescent="0.35"/>
    <row r="36" spans="1:6" hidden="1" outlineLevel="1" collapsed="1" x14ac:dyDescent="0.35"/>
    <row r="37" spans="1:6" collapsed="1" x14ac:dyDescent="0.35">
      <c r="A37">
        <v>102</v>
      </c>
      <c r="B37">
        <v>103</v>
      </c>
      <c r="C37">
        <v>104</v>
      </c>
      <c r="D37">
        <v>105</v>
      </c>
      <c r="E37">
        <v>106</v>
      </c>
      <c r="F37">
        <f t="shared" si="0"/>
        <v>520</v>
      </c>
    </row>
    <row r="38" spans="1:6" hidden="1" outlineLevel="1" x14ac:dyDescent="0.35"/>
    <row r="39" spans="1:6" hidden="1" outlineLevel="1" collapsed="1" x14ac:dyDescent="0.35"/>
    <row r="40" spans="1:6" hidden="1" outlineLevel="1" collapsed="1" x14ac:dyDescent="0.35"/>
    <row r="41" spans="1:6" collapsed="1" x14ac:dyDescent="0.35">
      <c r="A41">
        <v>103</v>
      </c>
      <c r="B41">
        <v>104</v>
      </c>
      <c r="C41">
        <v>105</v>
      </c>
      <c r="D41">
        <v>106</v>
      </c>
      <c r="E41">
        <v>107</v>
      </c>
      <c r="F41">
        <f t="shared" si="0"/>
        <v>525</v>
      </c>
    </row>
    <row r="42" spans="1:6" hidden="1" outlineLevel="1" x14ac:dyDescent="0.35"/>
    <row r="43" spans="1:6" hidden="1" outlineLevel="1" collapsed="1" x14ac:dyDescent="0.35"/>
    <row r="44" spans="1:6" hidden="1" outlineLevel="1" collapsed="1" x14ac:dyDescent="0.35"/>
    <row r="45" spans="1:6" collapsed="1" x14ac:dyDescent="0.35">
      <c r="A45">
        <v>104</v>
      </c>
      <c r="B45">
        <v>105</v>
      </c>
      <c r="C45">
        <v>106</v>
      </c>
      <c r="D45">
        <v>107</v>
      </c>
      <c r="E45">
        <v>108</v>
      </c>
      <c r="F45">
        <f t="shared" si="0"/>
        <v>530</v>
      </c>
    </row>
    <row r="46" spans="1:6" hidden="1" outlineLevel="1" x14ac:dyDescent="0.35"/>
    <row r="47" spans="1:6" hidden="1" outlineLevel="1" collapsed="1" x14ac:dyDescent="0.35"/>
    <row r="48" spans="1:6" hidden="1" outlineLevel="1" collapsed="1" x14ac:dyDescent="0.35"/>
    <row r="49" spans="1:6" collapsed="1" x14ac:dyDescent="0.35">
      <c r="A49">
        <v>105</v>
      </c>
      <c r="B49">
        <v>106</v>
      </c>
      <c r="C49">
        <v>107</v>
      </c>
      <c r="D49">
        <v>108</v>
      </c>
      <c r="E49">
        <v>109</v>
      </c>
      <c r="F49">
        <f t="shared" si="0"/>
        <v>535</v>
      </c>
    </row>
    <row r="50" spans="1:6" x14ac:dyDescent="0.35">
      <c r="A50">
        <v>100</v>
      </c>
      <c r="B50">
        <v>101</v>
      </c>
      <c r="C50">
        <v>102</v>
      </c>
      <c r="D50">
        <v>103</v>
      </c>
      <c r="E50">
        <v>104</v>
      </c>
      <c r="F50">
        <f t="shared" si="0"/>
        <v>510</v>
      </c>
    </row>
    <row r="51" spans="1:6" x14ac:dyDescent="0.35">
      <c r="A51">
        <v>101</v>
      </c>
      <c r="B51">
        <v>102</v>
      </c>
      <c r="C51">
        <v>103</v>
      </c>
      <c r="D51">
        <v>104</v>
      </c>
      <c r="E51">
        <v>105</v>
      </c>
      <c r="F51">
        <f t="shared" si="0"/>
        <v>515</v>
      </c>
    </row>
    <row r="52" spans="1:6" x14ac:dyDescent="0.35">
      <c r="F52">
        <f t="shared" si="0"/>
        <v>0</v>
      </c>
    </row>
    <row r="53" spans="1:6" x14ac:dyDescent="0.35">
      <c r="F53">
        <f t="shared" si="0"/>
        <v>0</v>
      </c>
    </row>
    <row r="54" spans="1:6" x14ac:dyDescent="0.35">
      <c r="F54">
        <f t="shared" si="0"/>
        <v>0</v>
      </c>
    </row>
    <row r="55" spans="1:6" x14ac:dyDescent="0.35">
      <c r="F55">
        <f t="shared" si="0"/>
        <v>0</v>
      </c>
    </row>
    <row r="56" spans="1:6" x14ac:dyDescent="0.35">
      <c r="F56">
        <f>SUM(E5:E55)</f>
        <v>1487</v>
      </c>
    </row>
  </sheetData>
  <sortState xmlns:xlrd2="http://schemas.microsoft.com/office/spreadsheetml/2017/richdata2" columnSort="1" ref="H1:L25">
    <sortCondition descending="1" ref="H1:L1"/>
  </sortState>
  <dataConsolidate topLabels="1" link="1">
    <dataRefs count="3">
      <dataRef ref="A1:E7" sheet="Sheet1"/>
      <dataRef ref="A1:E7" sheet="Sheet2"/>
      <dataRef ref="A1:E7" sheet="Sheet3"/>
    </dataRefs>
  </dataConsolid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DD43EE-4123-4D45-AEEB-0C6B9BC70133}">
  <ds:schemaRefs>
    <ds:schemaRef ds:uri="http://schemas.microsoft.com/DataMashup"/>
  </ds:schemaRefs>
</ds:datastoreItem>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Sheet1</vt:lpstr>
      <vt:lpstr>Sheet2</vt:lpstr>
      <vt:lpstr>Table 3</vt:lpstr>
      <vt:lpstr>Sheet6</vt:lpstr>
      <vt:lpstr>Sheet3</vt:lpstr>
      <vt:lpstr>Sheet4</vt:lpstr>
      <vt:lpstr>Sheet1!Print_Area</vt:lpstr>
      <vt:lpstr>'Table 3'!Print_Area</vt:lpstr>
      <vt:lpstr>Sheet1!Print_Titles</vt:lpstr>
      <vt:lpstr>Sheet2!Print_Titles</vt:lpstr>
      <vt:lpstr>'Table 3'!Print_Titles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B, Bala Santhosh</dc:creator>
  <cp:lastModifiedBy>P B, Bala Santhosh</cp:lastModifiedBy>
  <cp:lastPrinted>2024-10-17T11:23:50Z</cp:lastPrinted>
  <dcterms:created xsi:type="dcterms:W3CDTF">2024-10-04T08:57:16Z</dcterms:created>
  <dcterms:modified xsi:type="dcterms:W3CDTF">2024-10-18T11:47:25Z</dcterms:modified>
</cp:coreProperties>
</file>